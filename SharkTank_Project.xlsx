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d1d255c4846c4b/Desktop/"/>
    </mc:Choice>
  </mc:AlternateContent>
  <xr:revisionPtr revIDLastSave="0" documentId="8_{A80829FB-59AE-43D5-AECE-EFE6EBCFA2A3}" xr6:coauthVersionLast="47" xr6:coauthVersionMax="47" xr10:uidLastSave="{00000000-0000-0000-0000-000000000000}"/>
  <bookViews>
    <workbookView xWindow="-110" yWindow="-110" windowWidth="19420" windowHeight="11500" firstSheet="2" activeTab="4" xr2:uid="{C6C928A1-D32E-4ADE-859B-F40356C4E3C9}"/>
  </bookViews>
  <sheets>
    <sheet name="Sheet1" sheetId="2" r:id="rId1"/>
    <sheet name="Pivot Table1" sheetId="9" r:id="rId2"/>
    <sheet name="Pivot Table2" sheetId="10" r:id="rId3"/>
    <sheet name="Pivot Table3" sheetId="11" r:id="rId4"/>
    <sheet name="ShartankIndiaAllPitches" sheetId="1" r:id="rId5"/>
    <sheet name="Charts" sheetId="12" r:id="rId6"/>
  </sheets>
  <calcPr calcId="0"/>
  <pivotCaches>
    <pivotCache cacheId="30" r:id="rId7"/>
    <pivotCache cacheId="48" r:id="rId8"/>
  </pivotCaches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2" i="1"/>
</calcChain>
</file>

<file path=xl/sharedStrings.xml><?xml version="1.0" encoding="utf-8"?>
<sst xmlns="http://schemas.openxmlformats.org/spreadsheetml/2006/main" count="1082" uniqueCount="261">
  <si>
    <t>Episode Number</t>
  </si>
  <si>
    <t>Pitch Number</t>
  </si>
  <si>
    <t>Brand</t>
  </si>
  <si>
    <t>Debt (In lakhs INR)</t>
  </si>
  <si>
    <t>Equity</t>
  </si>
  <si>
    <t>Anupam</t>
  </si>
  <si>
    <t>Ashneer</t>
  </si>
  <si>
    <t>Namita</t>
  </si>
  <si>
    <t>Aman</t>
  </si>
  <si>
    <t>Vineeta</t>
  </si>
  <si>
    <t>Season</t>
  </si>
  <si>
    <t>BluePine Industries</t>
  </si>
  <si>
    <t>Frozen Momos</t>
  </si>
  <si>
    <t>N</t>
  </si>
  <si>
    <t>Y</t>
  </si>
  <si>
    <t>Booz scooters</t>
  </si>
  <si>
    <t>Renting e-bike for mobility in private spaces</t>
  </si>
  <si>
    <t>Heart up my Sleeves</t>
  </si>
  <si>
    <t>Detachable Sleeves</t>
  </si>
  <si>
    <t>Tagz Foods</t>
  </si>
  <si>
    <t>Healthy Potato Chips</t>
  </si>
  <si>
    <t>Head and Heart</t>
  </si>
  <si>
    <t>Brain Development Course</t>
  </si>
  <si>
    <t>Agro tourism</t>
  </si>
  <si>
    <t>Tourism</t>
  </si>
  <si>
    <t>Qzense Labs</t>
  </si>
  <si>
    <t>Food Freshness Detector</t>
  </si>
  <si>
    <t>Peeschute</t>
  </si>
  <si>
    <t>Disposable Urine Bag</t>
  </si>
  <si>
    <t>NOCD</t>
  </si>
  <si>
    <t>Energy Drink</t>
  </si>
  <si>
    <t>Cosiq</t>
  </si>
  <si>
    <t>Intelligent Skincare</t>
  </si>
  <si>
    <t>JhaJi Achaar</t>
  </si>
  <si>
    <t>Pickle</t>
  </si>
  <si>
    <t>Bummer</t>
  </si>
  <si>
    <t>Underwear</t>
  </si>
  <si>
    <t>Revamp Moto</t>
  </si>
  <si>
    <t>E-Bike</t>
  </si>
  <si>
    <t>Hungry Heads</t>
  </si>
  <si>
    <t>Restaurant serving 80 types of Maggi</t>
  </si>
  <si>
    <t>Shrawani Engineers</t>
  </si>
  <si>
    <t>Belly Button Shaper</t>
  </si>
  <si>
    <t>Skippi Pops</t>
  </si>
  <si>
    <t>Ice-Pops</t>
  </si>
  <si>
    <t>Menstrupedia</t>
  </si>
  <si>
    <t>Menstrual Awareness Comic</t>
  </si>
  <si>
    <t>Hecolll</t>
  </si>
  <si>
    <t>Pollution Resistant Fabric</t>
  </si>
  <si>
    <t>Raising Superstars</t>
  </si>
  <si>
    <t>Child Development App</t>
  </si>
  <si>
    <t>Torch-it</t>
  </si>
  <si>
    <t>Gadgets for visually impaired people</t>
  </si>
  <si>
    <t>La Kheer Deli</t>
  </si>
  <si>
    <t>Kheer in variety of flavors</t>
  </si>
  <si>
    <t>Beyond Snack</t>
  </si>
  <si>
    <t>Kerala Banana Chips</t>
  </si>
  <si>
    <t>Vivalyf Innovations- Easy Life</t>
  </si>
  <si>
    <t>Prickless Diabetes Testing Machine</t>
  </si>
  <si>
    <t>Motion Breeze</t>
  </si>
  <si>
    <t>Smart Electric Motorcycle</t>
  </si>
  <si>
    <t>Altor</t>
  </si>
  <si>
    <t>Smart Helmets</t>
  </si>
  <si>
    <t>Ariro</t>
  </si>
  <si>
    <t>Wooden Toys</t>
  </si>
  <si>
    <t>Kabira Handmade</t>
  </si>
  <si>
    <t>Healthy Oils</t>
  </si>
  <si>
    <t>Nuutjob</t>
  </si>
  <si>
    <t>Male Intimate Hygiene</t>
  </si>
  <si>
    <t>Meatyour</t>
  </si>
  <si>
    <t>Eggs</t>
  </si>
  <si>
    <t>EventBeep</t>
  </si>
  <si>
    <t>Student Community App</t>
  </si>
  <si>
    <t>Gopal's 56</t>
  </si>
  <si>
    <t>Fiber Ice Cream</t>
  </si>
  <si>
    <t>ARRCOAT Surface Textures</t>
  </si>
  <si>
    <t>Wall Building</t>
  </si>
  <si>
    <t>Farda</t>
  </si>
  <si>
    <t>Customised Streetwear</t>
  </si>
  <si>
    <t>Auli Lifestyle</t>
  </si>
  <si>
    <t>Ayurvedic Products</t>
  </si>
  <si>
    <t>SweeDesi</t>
  </si>
  <si>
    <t>Indian Sweets</t>
  </si>
  <si>
    <t>LOKA</t>
  </si>
  <si>
    <t>Metaverse App</t>
  </si>
  <si>
    <t>Annie</t>
  </si>
  <si>
    <t>Braille Literary Device</t>
  </si>
  <si>
    <t>Caragreen</t>
  </si>
  <si>
    <t>Eco-Friendly boxes</t>
  </si>
  <si>
    <t>The Yarn Bazaar</t>
  </si>
  <si>
    <t>Yarn-Trading App</t>
  </si>
  <si>
    <t>The Renal Project</t>
  </si>
  <si>
    <t>Home Dialysis Treatment</t>
  </si>
  <si>
    <t>Morikko Pure Foods</t>
  </si>
  <si>
    <t>Healthy Food Snacks</t>
  </si>
  <si>
    <t>Good Good Piggy Bank</t>
  </si>
  <si>
    <t>Digital Piggy Bank</t>
  </si>
  <si>
    <t>Hammer Lifestyle</t>
  </si>
  <si>
    <t>Smart Audio Products</t>
  </si>
  <si>
    <t>PNT</t>
  </si>
  <si>
    <t>Robotics and Automation Solutions</t>
  </si>
  <si>
    <t>Cocofit</t>
  </si>
  <si>
    <t>Coconut based beverage franchise</t>
  </si>
  <si>
    <t>Bamboo India</t>
  </si>
  <si>
    <t>Bamboo Products</t>
  </si>
  <si>
    <t>Flying Furr</t>
  </si>
  <si>
    <t>Dog Hygiene</t>
  </si>
  <si>
    <t>Beyond Water</t>
  </si>
  <si>
    <t>Liquid Water Enhancer</t>
  </si>
  <si>
    <t>Let's Try</t>
  </si>
  <si>
    <t>Healthy Snacks</t>
  </si>
  <si>
    <t>Find Your Kicks India</t>
  </si>
  <si>
    <t>Sneaker Resale</t>
  </si>
  <si>
    <t>Aas Vidyalaya</t>
  </si>
  <si>
    <t>EdTech App</t>
  </si>
  <si>
    <t>Outbox</t>
  </si>
  <si>
    <t>Premium Surprise-Planning</t>
  </si>
  <si>
    <t>RoadBounce</t>
  </si>
  <si>
    <t>Pothole Detection Software and Data</t>
  </si>
  <si>
    <t>Mommy's Kitchen</t>
  </si>
  <si>
    <t>Thin Crust Pizza</t>
  </si>
  <si>
    <t>India Hemp and Co</t>
  </si>
  <si>
    <t>Hemp Food Products</t>
  </si>
  <si>
    <t>Otua</t>
  </si>
  <si>
    <t>Electric Auto Vehicle</t>
  </si>
  <si>
    <t>Anthyesti</t>
  </si>
  <si>
    <t>Funeral Service</t>
  </si>
  <si>
    <t>Ethik</t>
  </si>
  <si>
    <t>Leather-free Shoes</t>
  </si>
  <si>
    <t>WeSTOCK</t>
  </si>
  <si>
    <t>Livestock health monitoring AI</t>
  </si>
  <si>
    <t>KetoIndia</t>
  </si>
  <si>
    <t>Customised Keto Diets for various medical issues</t>
  </si>
  <si>
    <t>Magic lock</t>
  </si>
  <si>
    <t>LPG Cylinder lock</t>
  </si>
  <si>
    <t>The State Plate</t>
  </si>
  <si>
    <t>Delicacies</t>
  </si>
  <si>
    <t>Bakarmax</t>
  </si>
  <si>
    <t>Comics &amp; Animation</t>
  </si>
  <si>
    <t>IN A CAN</t>
  </si>
  <si>
    <t>Can Cocktails</t>
  </si>
  <si>
    <t>Get a Whey</t>
  </si>
  <si>
    <t>Sugar-Free Icecream</t>
  </si>
  <si>
    <t>Sid07 Designs</t>
  </si>
  <si>
    <t>Inventions</t>
  </si>
  <si>
    <t>The Quirky Nari</t>
  </si>
  <si>
    <t>Customised Apparels</t>
  </si>
  <si>
    <t>Hair Originals</t>
  </si>
  <si>
    <t>Natural Hair Extensions</t>
  </si>
  <si>
    <t>Poo de Cologne</t>
  </si>
  <si>
    <t>Toilet Spray with Essential Oils</t>
  </si>
  <si>
    <t>Moonshine Meads</t>
  </si>
  <si>
    <t>Meads</t>
  </si>
  <si>
    <t>Falhari</t>
  </si>
  <si>
    <t>Fresh Fruits</t>
  </si>
  <si>
    <t>Namhya Foods</t>
  </si>
  <si>
    <t>Ayurvedic Enriched Food</t>
  </si>
  <si>
    <t>Urban Monkey</t>
  </si>
  <si>
    <t>Streetwear</t>
  </si>
  <si>
    <t>Guardian Gears</t>
  </si>
  <si>
    <t>Motorcycle Luggage</t>
  </si>
  <si>
    <t>Modern Myth</t>
  </si>
  <si>
    <t>Bags</t>
  </si>
  <si>
    <t>The Sass Bar</t>
  </si>
  <si>
    <t>Gifts</t>
  </si>
  <si>
    <t>KG Agrotech</t>
  </si>
  <si>
    <t>Agricultural Innovations</t>
  </si>
  <si>
    <t>Nuskha Kitchen</t>
  </si>
  <si>
    <t>Homemade Foods</t>
  </si>
  <si>
    <t>PawsIndia</t>
  </si>
  <si>
    <t>Dog Products</t>
  </si>
  <si>
    <t>Sunfox Technologies</t>
  </si>
  <si>
    <t>Portable ECG Device</t>
  </si>
  <si>
    <t>Alpino</t>
  </si>
  <si>
    <t>Roasted Peanut Products</t>
  </si>
  <si>
    <t>Isak Fragrances</t>
  </si>
  <si>
    <t>Perfumes</t>
  </si>
  <si>
    <t>Julaa Automation</t>
  </si>
  <si>
    <t>Automatic Cradle</t>
  </si>
  <si>
    <t>Rare Planet</t>
  </si>
  <si>
    <t>Handicrafts</t>
  </si>
  <si>
    <t>Theka Coffee</t>
  </si>
  <si>
    <t>Coffee Products</t>
  </si>
  <si>
    <t>Watt Technovations</t>
  </si>
  <si>
    <t>Ventilated PPE Kits</t>
  </si>
  <si>
    <t>Aliste Technologies</t>
  </si>
  <si>
    <t>Automation Solutions</t>
  </si>
  <si>
    <t>Insurance Samadhan</t>
  </si>
  <si>
    <t>Insurance Solutions</t>
  </si>
  <si>
    <t>Humpy A2</t>
  </si>
  <si>
    <t>Organic Milk Products</t>
  </si>
  <si>
    <t>Kunafa World</t>
  </si>
  <si>
    <t>Kunafa</t>
  </si>
  <si>
    <t>Gold Safe Solutions Ind.</t>
  </si>
  <si>
    <t>Anti-Suicidal Fan Rod</t>
  </si>
  <si>
    <t>Wakao Foods</t>
  </si>
  <si>
    <t>Jackfruit Products</t>
  </si>
  <si>
    <t>PDD Falcon</t>
  </si>
  <si>
    <t>Stainless Steel Items</t>
  </si>
  <si>
    <t>PlayBox TV</t>
  </si>
  <si>
    <t>Streaming Platform</t>
  </si>
  <si>
    <t>Sippline Drinking Shields</t>
  </si>
  <si>
    <t>Portable Glass Attachment</t>
  </si>
  <si>
    <t>Kabaddi Adda</t>
  </si>
  <si>
    <t>All-Kabaddi App</t>
  </si>
  <si>
    <t>Shades of Spring</t>
  </si>
  <si>
    <t>Flowers</t>
  </si>
  <si>
    <t>Scholify</t>
  </si>
  <si>
    <t>Scholarship Platform</t>
  </si>
  <si>
    <t>Scrapshala</t>
  </si>
  <si>
    <t>Handmade Reusable Scrap Materials</t>
  </si>
  <si>
    <t>Sabjikothi</t>
  </si>
  <si>
    <t>Vegetables Storage</t>
  </si>
  <si>
    <t>AyuRythm</t>
  </si>
  <si>
    <t>Ayurvedic Wellness App</t>
  </si>
  <si>
    <t>Astrix</t>
  </si>
  <si>
    <t>Smart Locks</t>
  </si>
  <si>
    <t>Thea and Sid</t>
  </si>
  <si>
    <t>Proposal Solutions</t>
  </si>
  <si>
    <t>Experential Etc</t>
  </si>
  <si>
    <t>Technology layered Advertisement Services</t>
  </si>
  <si>
    <t>GrowFitter</t>
  </si>
  <si>
    <t>Rewards App</t>
  </si>
  <si>
    <t>Med Tech</t>
  </si>
  <si>
    <t>Portable opthalmic devices</t>
  </si>
  <si>
    <t>Colour Me Mad</t>
  </si>
  <si>
    <t>Insoles</t>
  </si>
  <si>
    <t>Mavi's</t>
  </si>
  <si>
    <t>Vegan Fermented Food</t>
  </si>
  <si>
    <t>Tweek Labs</t>
  </si>
  <si>
    <t>Sportswear</t>
  </si>
  <si>
    <t>Proxgy</t>
  </si>
  <si>
    <t>VR</t>
  </si>
  <si>
    <t>Nomad Food Project</t>
  </si>
  <si>
    <t>Bacon Jams</t>
  </si>
  <si>
    <t>Twee in One</t>
  </si>
  <si>
    <t>Reversible and convertible clothing</t>
  </si>
  <si>
    <t>Green Protein</t>
  </si>
  <si>
    <t>Plant-Based Protein</t>
  </si>
  <si>
    <t>On2Cook</t>
  </si>
  <si>
    <t>Fastest Cooking Device</t>
  </si>
  <si>
    <t>Jain Shikanji</t>
  </si>
  <si>
    <t>Lemonade</t>
  </si>
  <si>
    <t>Woloo</t>
  </si>
  <si>
    <t>Washroom Finder</t>
  </si>
  <si>
    <t>Elcare India</t>
  </si>
  <si>
    <t>Carenting for Elders</t>
  </si>
  <si>
    <t>Industry</t>
  </si>
  <si>
    <t>Row Labels</t>
  </si>
  <si>
    <t>Grand Total</t>
  </si>
  <si>
    <t xml:space="preserve">Sum of Investment Amount (In Lakhs INR) </t>
  </si>
  <si>
    <t>Deal</t>
  </si>
  <si>
    <t>Investment</t>
  </si>
  <si>
    <t>Sum of Investment</t>
  </si>
  <si>
    <t>Count of Ashneer</t>
  </si>
  <si>
    <t>Count of Anupam</t>
  </si>
  <si>
    <t>Count of Aman</t>
  </si>
  <si>
    <t>Count of Namita</t>
  </si>
  <si>
    <t>Count of Vineeta</t>
  </si>
  <si>
    <t>Yes</t>
  </si>
  <si>
    <t>Count of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</si>
</sst>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9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Equity vs Investment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ShartankIndiaAllPitches!$G$1</c:f>
              <c:strCache>
                <c:ptCount val="1"/>
                <c:pt idx="0">
                  <c:v>Equity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ShartankIndiaAllPitches!$E$2:$E$118</c:f>
              <c:numCache>
                <c:formatCode>General</c:formatCode>
                <c:ptCount val="117"/>
                <c:pt idx="0">
                  <c:v>75</c:v>
                </c:pt>
                <c:pt idx="1">
                  <c:v>40</c:v>
                </c:pt>
                <c:pt idx="2">
                  <c:v>25</c:v>
                </c:pt>
                <c:pt idx="3">
                  <c:v>70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75</c:v>
                </c:pt>
                <c:pt idx="8">
                  <c:v>20</c:v>
                </c:pt>
                <c:pt idx="9">
                  <c:v>50</c:v>
                </c:pt>
                <c:pt idx="10">
                  <c:v>0</c:v>
                </c:pt>
                <c:pt idx="11">
                  <c:v>75</c:v>
                </c:pt>
                <c:pt idx="12">
                  <c:v>10</c:v>
                </c:pt>
                <c:pt idx="13">
                  <c:v>0</c:v>
                </c:pt>
                <c:pt idx="14">
                  <c:v>0</c:v>
                </c:pt>
                <c:pt idx="15">
                  <c:v>10</c:v>
                </c:pt>
                <c:pt idx="16">
                  <c:v>50</c:v>
                </c:pt>
                <c:pt idx="17">
                  <c:v>0</c:v>
                </c:pt>
                <c:pt idx="18">
                  <c:v>10</c:v>
                </c:pt>
                <c:pt idx="19">
                  <c:v>0</c:v>
                </c:pt>
                <c:pt idx="20">
                  <c:v>0</c:v>
                </c:pt>
                <c:pt idx="21">
                  <c:v>50</c:v>
                </c:pt>
                <c:pt idx="22">
                  <c:v>56</c:v>
                </c:pt>
                <c:pt idx="23">
                  <c:v>30</c:v>
                </c:pt>
                <c:pt idx="24">
                  <c:v>50</c:v>
                </c:pt>
                <c:pt idx="25">
                  <c:v>50</c:v>
                </c:pt>
                <c:pt idx="26">
                  <c:v>0</c:v>
                </c:pt>
                <c:pt idx="27">
                  <c:v>25</c:v>
                </c:pt>
                <c:pt idx="28">
                  <c:v>30</c:v>
                </c:pt>
                <c:pt idx="29">
                  <c:v>30</c:v>
                </c:pt>
                <c:pt idx="30">
                  <c:v>0</c:v>
                </c:pt>
                <c:pt idx="31">
                  <c:v>50</c:v>
                </c:pt>
                <c:pt idx="32">
                  <c:v>30</c:v>
                </c:pt>
                <c:pt idx="33">
                  <c:v>75</c:v>
                </c:pt>
                <c:pt idx="34">
                  <c:v>0</c:v>
                </c:pt>
                <c:pt idx="35">
                  <c:v>40</c:v>
                </c:pt>
                <c:pt idx="36">
                  <c:v>10</c:v>
                </c:pt>
                <c:pt idx="37">
                  <c:v>50</c:v>
                </c:pt>
                <c:pt idx="38">
                  <c:v>10</c:v>
                </c:pt>
                <c:pt idx="39">
                  <c:v>10</c:v>
                </c:pt>
                <c:pt idx="40">
                  <c:v>0</c:v>
                </c:pt>
                <c:pt idx="41">
                  <c:v>0</c:v>
                </c:pt>
                <c:pt idx="42">
                  <c:v>10</c:v>
                </c:pt>
                <c:pt idx="43">
                  <c:v>25</c:v>
                </c:pt>
                <c:pt idx="44">
                  <c:v>5</c:v>
                </c:pt>
                <c:pt idx="45">
                  <c:v>50</c:v>
                </c:pt>
                <c:pt idx="46">
                  <c:v>0</c:v>
                </c:pt>
                <c:pt idx="47">
                  <c:v>75</c:v>
                </c:pt>
                <c:pt idx="48">
                  <c:v>45</c:v>
                </c:pt>
                <c:pt idx="49">
                  <c:v>50</c:v>
                </c:pt>
                <c:pt idx="50">
                  <c:v>15</c:v>
                </c:pt>
                <c:pt idx="51">
                  <c:v>0</c:v>
                </c:pt>
                <c:pt idx="52">
                  <c:v>80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60</c:v>
                </c:pt>
                <c:pt idx="59">
                  <c:v>0</c:v>
                </c:pt>
                <c:pt idx="60">
                  <c:v>0</c:v>
                </c:pt>
                <c:pt idx="61">
                  <c:v>40</c:v>
                </c:pt>
                <c:pt idx="62">
                  <c:v>0</c:v>
                </c:pt>
                <c:pt idx="63">
                  <c:v>10</c:v>
                </c:pt>
                <c:pt idx="64">
                  <c:v>10</c:v>
                </c:pt>
                <c:pt idx="65">
                  <c:v>25</c:v>
                </c:pt>
                <c:pt idx="66">
                  <c:v>35</c:v>
                </c:pt>
                <c:pt idx="67">
                  <c:v>60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50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50</c:v>
                </c:pt>
                <c:pt idx="76">
                  <c:v>10</c:v>
                </c:pt>
                <c:pt idx="77">
                  <c:v>0</c:v>
                </c:pt>
                <c:pt idx="78">
                  <c:v>50</c:v>
                </c:pt>
                <c:pt idx="79">
                  <c:v>10</c:v>
                </c:pt>
                <c:pt idx="80">
                  <c:v>0</c:v>
                </c:pt>
                <c:pt idx="81">
                  <c:v>50</c:v>
                </c:pt>
                <c:pt idx="82">
                  <c:v>0</c:v>
                </c:pt>
                <c:pt idx="83">
                  <c:v>65</c:v>
                </c:pt>
                <c:pt idx="84">
                  <c:v>0</c:v>
                </c:pt>
                <c:pt idx="85">
                  <c:v>10</c:v>
                </c:pt>
                <c:pt idx="86">
                  <c:v>0</c:v>
                </c:pt>
                <c:pt idx="87">
                  <c:v>10</c:v>
                </c:pt>
                <c:pt idx="88">
                  <c:v>10</c:v>
                </c:pt>
                <c:pt idx="89">
                  <c:v>0</c:v>
                </c:pt>
                <c:pt idx="90">
                  <c:v>50</c:v>
                </c:pt>
                <c:pt idx="91">
                  <c:v>75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80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75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50</c:v>
                </c:pt>
                <c:pt idx="105">
                  <c:v>0</c:v>
                </c:pt>
                <c:pt idx="106">
                  <c:v>40</c:v>
                </c:pt>
                <c:pt idx="107">
                  <c:v>0</c:v>
                </c:pt>
                <c:pt idx="108">
                  <c:v>60</c:v>
                </c:pt>
                <c:pt idx="109">
                  <c:v>10</c:v>
                </c:pt>
                <c:pt idx="110">
                  <c:v>40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40</c:v>
                </c:pt>
                <c:pt idx="115">
                  <c:v>0</c:v>
                </c:pt>
                <c:pt idx="116">
                  <c:v>0</c:v>
                </c:pt>
              </c:numCache>
            </c:numRef>
          </c:xVal>
          <c:yVal>
            <c:numRef>
              <c:f>ShartankIndiaAllPitches!$G$2:$G$118</c:f>
              <c:numCache>
                <c:formatCode>0%</c:formatCode>
                <c:ptCount val="117"/>
                <c:pt idx="0">
                  <c:v>0.18</c:v>
                </c:pt>
                <c:pt idx="1">
                  <c:v>0.5</c:v>
                </c:pt>
                <c:pt idx="2">
                  <c:v>0.3</c:v>
                </c:pt>
                <c:pt idx="3" formatCode="0.00%">
                  <c:v>2.75E-2</c:v>
                </c:pt>
                <c:pt idx="4" formatCode="General">
                  <c:v>0</c:v>
                </c:pt>
                <c:pt idx="5" formatCode="General">
                  <c:v>0</c:v>
                </c:pt>
                <c:pt idx="6" formatCode="General">
                  <c:v>0</c:v>
                </c:pt>
                <c:pt idx="7">
                  <c:v>0.06</c:v>
                </c:pt>
                <c:pt idx="8">
                  <c:v>0.15</c:v>
                </c:pt>
                <c:pt idx="9">
                  <c:v>0.25</c:v>
                </c:pt>
                <c:pt idx="10" formatCode="General">
                  <c:v>0</c:v>
                </c:pt>
                <c:pt idx="11" formatCode="0.00%">
                  <c:v>7.4999999999999997E-2</c:v>
                </c:pt>
                <c:pt idx="12" formatCode="0.00%">
                  <c:v>1.4999999999999999E-2</c:v>
                </c:pt>
                <c:pt idx="13" formatCode="General">
                  <c:v>0</c:v>
                </c:pt>
                <c:pt idx="14" formatCode="General">
                  <c:v>0</c:v>
                </c:pt>
                <c:pt idx="15">
                  <c:v>0.15</c:v>
                </c:pt>
                <c:pt idx="16">
                  <c:v>0.2</c:v>
                </c:pt>
                <c:pt idx="17" formatCode="General">
                  <c:v>0</c:v>
                </c:pt>
                <c:pt idx="18">
                  <c:v>0.04</c:v>
                </c:pt>
                <c:pt idx="19" formatCode="General">
                  <c:v>0</c:v>
                </c:pt>
                <c:pt idx="20" formatCode="General">
                  <c:v>0</c:v>
                </c:pt>
                <c:pt idx="21" formatCode="0.00%">
                  <c:v>2.5000000000000001E-2</c:v>
                </c:pt>
                <c:pt idx="22" formatCode="0.00%">
                  <c:v>0.33300000000000002</c:v>
                </c:pt>
                <c:pt idx="23">
                  <c:v>0.06</c:v>
                </c:pt>
                <c:pt idx="24">
                  <c:v>7.0000000000000007E-2</c:v>
                </c:pt>
                <c:pt idx="25">
                  <c:v>0.1</c:v>
                </c:pt>
                <c:pt idx="26" formatCode="General">
                  <c:v>0</c:v>
                </c:pt>
                <c:pt idx="27">
                  <c:v>0.2</c:v>
                </c:pt>
                <c:pt idx="28">
                  <c:v>0.2</c:v>
                </c:pt>
                <c:pt idx="29">
                  <c:v>0.03</c:v>
                </c:pt>
                <c:pt idx="30" formatCode="General">
                  <c:v>0</c:v>
                </c:pt>
                <c:pt idx="31">
                  <c:v>0.15</c:v>
                </c:pt>
                <c:pt idx="32">
                  <c:v>0.2</c:v>
                </c:pt>
                <c:pt idx="33">
                  <c:v>0.05</c:v>
                </c:pt>
                <c:pt idx="34" formatCode="General">
                  <c:v>0</c:v>
                </c:pt>
                <c:pt idx="35">
                  <c:v>0.24</c:v>
                </c:pt>
                <c:pt idx="36">
                  <c:v>0.03</c:v>
                </c:pt>
                <c:pt idx="37">
                  <c:v>0.2</c:v>
                </c:pt>
                <c:pt idx="38">
                  <c:v>0.1</c:v>
                </c:pt>
                <c:pt idx="39">
                  <c:v>0.06</c:v>
                </c:pt>
                <c:pt idx="40" formatCode="General">
                  <c:v>0</c:v>
                </c:pt>
                <c:pt idx="41" formatCode="General">
                  <c:v>0</c:v>
                </c:pt>
                <c:pt idx="42" formatCode="0.00%">
                  <c:v>0.4</c:v>
                </c:pt>
                <c:pt idx="43" formatCode="0.00%">
                  <c:v>0.25</c:v>
                </c:pt>
                <c:pt idx="44" formatCode="0.00%">
                  <c:v>0.05</c:v>
                </c:pt>
                <c:pt idx="45" formatCode="0.00%">
                  <c:v>3.5000000000000003E-2</c:v>
                </c:pt>
                <c:pt idx="46" formatCode="General">
                  <c:v>0</c:v>
                </c:pt>
                <c:pt idx="47" formatCode="0.00%">
                  <c:v>0.15</c:v>
                </c:pt>
                <c:pt idx="48" formatCode="0.00%">
                  <c:v>0.12</c:v>
                </c:pt>
                <c:pt idx="49" formatCode="0.00%">
                  <c:v>0.25</c:v>
                </c:pt>
                <c:pt idx="50" formatCode="0.00%">
                  <c:v>0.15</c:v>
                </c:pt>
                <c:pt idx="51" formatCode="General">
                  <c:v>0</c:v>
                </c:pt>
                <c:pt idx="52" formatCode="0.00%">
                  <c:v>0.2</c:v>
                </c:pt>
                <c:pt idx="53" formatCode="General">
                  <c:v>0</c:v>
                </c:pt>
                <c:pt idx="54" formatCode="General">
                  <c:v>0</c:v>
                </c:pt>
                <c:pt idx="55" formatCode="0.00%">
                  <c:v>0.01</c:v>
                </c:pt>
                <c:pt idx="56" formatCode="General">
                  <c:v>0</c:v>
                </c:pt>
                <c:pt idx="57" formatCode="General">
                  <c:v>0</c:v>
                </c:pt>
                <c:pt idx="58" formatCode="0.00%">
                  <c:v>0.1</c:v>
                </c:pt>
                <c:pt idx="59" formatCode="General">
                  <c:v>0</c:v>
                </c:pt>
                <c:pt idx="60" formatCode="General">
                  <c:v>0</c:v>
                </c:pt>
                <c:pt idx="61" formatCode="0.00%">
                  <c:v>0.03</c:v>
                </c:pt>
                <c:pt idx="62" formatCode="General">
                  <c:v>0</c:v>
                </c:pt>
                <c:pt idx="63" formatCode="0.00%">
                  <c:v>0.1</c:v>
                </c:pt>
                <c:pt idx="64" formatCode="0.00%">
                  <c:v>0.15</c:v>
                </c:pt>
                <c:pt idx="65" formatCode="0.00%">
                  <c:v>0.75</c:v>
                </c:pt>
                <c:pt idx="66" formatCode="0.00%">
                  <c:v>0.24</c:v>
                </c:pt>
                <c:pt idx="67" formatCode="0.00%">
                  <c:v>0.04</c:v>
                </c:pt>
                <c:pt idx="68" formatCode="General">
                  <c:v>0</c:v>
                </c:pt>
                <c:pt idx="69" formatCode="General">
                  <c:v>0</c:v>
                </c:pt>
                <c:pt idx="70" formatCode="General">
                  <c:v>0</c:v>
                </c:pt>
                <c:pt idx="71" formatCode="0.00%">
                  <c:v>0.1</c:v>
                </c:pt>
                <c:pt idx="72" formatCode="General">
                  <c:v>0</c:v>
                </c:pt>
                <c:pt idx="73" formatCode="General">
                  <c:v>0</c:v>
                </c:pt>
                <c:pt idx="74" formatCode="General">
                  <c:v>0</c:v>
                </c:pt>
                <c:pt idx="75" formatCode="0.00%">
                  <c:v>0.35</c:v>
                </c:pt>
                <c:pt idx="76" formatCode="0.00%">
                  <c:v>0.4</c:v>
                </c:pt>
                <c:pt idx="77" formatCode="General">
                  <c:v>0</c:v>
                </c:pt>
                <c:pt idx="78" formatCode="0.00%">
                  <c:v>0.15</c:v>
                </c:pt>
                <c:pt idx="79" formatCode="0.00%">
                  <c:v>0.06</c:v>
                </c:pt>
                <c:pt idx="80" formatCode="General">
                  <c:v>0</c:v>
                </c:pt>
                <c:pt idx="81" formatCode="0.00%">
                  <c:v>0.5</c:v>
                </c:pt>
                <c:pt idx="82" formatCode="General">
                  <c:v>0</c:v>
                </c:pt>
                <c:pt idx="83" formatCode="0.00%">
                  <c:v>0.3</c:v>
                </c:pt>
                <c:pt idx="84" formatCode="General">
                  <c:v>0</c:v>
                </c:pt>
                <c:pt idx="85" formatCode="0.00%">
                  <c:v>0.04</c:v>
                </c:pt>
                <c:pt idx="86" formatCode="General">
                  <c:v>0</c:v>
                </c:pt>
                <c:pt idx="87" formatCode="0.00%">
                  <c:v>0.04</c:v>
                </c:pt>
                <c:pt idx="88" formatCode="0.00%">
                  <c:v>0.15</c:v>
                </c:pt>
                <c:pt idx="89" formatCode="General">
                  <c:v>0</c:v>
                </c:pt>
                <c:pt idx="90" formatCode="0.00%">
                  <c:v>0.3</c:v>
                </c:pt>
                <c:pt idx="91" formatCode="0.00%">
                  <c:v>0.21</c:v>
                </c:pt>
                <c:pt idx="92" formatCode="General">
                  <c:v>0</c:v>
                </c:pt>
                <c:pt idx="93" formatCode="General">
                  <c:v>0</c:v>
                </c:pt>
                <c:pt idx="94" formatCode="General">
                  <c:v>0</c:v>
                </c:pt>
                <c:pt idx="95" formatCode="0.00%">
                  <c:v>0.06</c:v>
                </c:pt>
                <c:pt idx="96" formatCode="General">
                  <c:v>0</c:v>
                </c:pt>
                <c:pt idx="97" formatCode="General">
                  <c:v>0</c:v>
                </c:pt>
                <c:pt idx="98" formatCode="General">
                  <c:v>0</c:v>
                </c:pt>
                <c:pt idx="99" formatCode="General">
                  <c:v>0</c:v>
                </c:pt>
                <c:pt idx="100" formatCode="0.00%">
                  <c:v>2.6800000000000001E-2</c:v>
                </c:pt>
                <c:pt idx="101" formatCode="General">
                  <c:v>0</c:v>
                </c:pt>
                <c:pt idx="102" formatCode="General">
                  <c:v>0</c:v>
                </c:pt>
                <c:pt idx="103" formatCode="General">
                  <c:v>0</c:v>
                </c:pt>
                <c:pt idx="104" formatCode="0.00%">
                  <c:v>0.02</c:v>
                </c:pt>
                <c:pt idx="105" formatCode="General">
                  <c:v>0</c:v>
                </c:pt>
                <c:pt idx="106" formatCode="0.00%">
                  <c:v>0.25</c:v>
                </c:pt>
                <c:pt idx="107" formatCode="General">
                  <c:v>0</c:v>
                </c:pt>
                <c:pt idx="108" formatCode="0.00%">
                  <c:v>0.1</c:v>
                </c:pt>
                <c:pt idx="109" formatCode="0.00%">
                  <c:v>0.1</c:v>
                </c:pt>
                <c:pt idx="110" formatCode="0.00%">
                  <c:v>0.2</c:v>
                </c:pt>
                <c:pt idx="111" formatCode="General">
                  <c:v>0</c:v>
                </c:pt>
                <c:pt idx="112" formatCode="General">
                  <c:v>0</c:v>
                </c:pt>
                <c:pt idx="113" formatCode="General">
                  <c:v>0</c:v>
                </c:pt>
                <c:pt idx="114" formatCode="0.00%">
                  <c:v>0.3</c:v>
                </c:pt>
                <c:pt idx="115" formatCode="General">
                  <c:v>0</c:v>
                </c:pt>
                <c:pt idx="116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FC-4736-9817-04948A91B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2524240"/>
        <c:axId val="1261975104"/>
      </c:scatterChart>
      <c:valAx>
        <c:axId val="90252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75104"/>
        <c:crosses val="autoZero"/>
        <c:crossBetween val="midCat"/>
      </c:valAx>
      <c:valAx>
        <c:axId val="126197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252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[SharkTank_Project.xlsx]Pivot Table3!PivotTable11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Deal Success </a:t>
            </a:r>
            <a:endParaRPr lang="en-US"/>
          </a:p>
        </c:rich>
      </c:tx>
      <c:layout>
        <c:manualLayout>
          <c:xMode val="edge"/>
          <c:yMode val="edge"/>
          <c:x val="0.37882065821156752"/>
          <c:y val="0.10678902936796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D6-40B2-87B7-E814746BC12E}"/>
              </c:ext>
            </c:extLst>
          </c:dPt>
          <c:cat>
            <c:strRef>
              <c:f>'Pivot Table3'!$A$4:$A$5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'Pivot Table3'!$B$4:$B$5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DD6-40B2-87B7-E814746BC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[SharkTank_Project.xlsx]Pivot Table2!PivotTable10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373643663665024E-2"/>
          <c:y val="9.2596782587053422E-2"/>
          <c:w val="0.72377333418912992"/>
          <c:h val="0.80640597778129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Table2'!$A$3</c:f>
              <c:strCache>
                <c:ptCount val="1"/>
                <c:pt idx="0">
                  <c:v>Count of Vineeta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Table2'!$A$4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0-4714-8058-E62E1894AF48}"/>
            </c:ext>
          </c:extLst>
        </c:ser>
        <c:ser>
          <c:idx val="1"/>
          <c:order val="1"/>
          <c:tx>
            <c:strRef>
              <c:f>'Pivot Table2'!$B$3</c:f>
              <c:strCache>
                <c:ptCount val="1"/>
                <c:pt idx="0">
                  <c:v>Count of Anupam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Table2'!$B$4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0-4714-8058-E62E1894AF48}"/>
            </c:ext>
          </c:extLst>
        </c:ser>
        <c:ser>
          <c:idx val="2"/>
          <c:order val="2"/>
          <c:tx>
            <c:strRef>
              <c:f>'Pivot Table2'!$C$3</c:f>
              <c:strCache>
                <c:ptCount val="1"/>
                <c:pt idx="0">
                  <c:v>Count of Namita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Table2'!$C$4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A0-4714-8058-E62E1894AF48}"/>
            </c:ext>
          </c:extLst>
        </c:ser>
        <c:ser>
          <c:idx val="3"/>
          <c:order val="3"/>
          <c:tx>
            <c:strRef>
              <c:f>'Pivot Table2'!$D$3</c:f>
              <c:strCache>
                <c:ptCount val="1"/>
                <c:pt idx="0">
                  <c:v>Count of Aman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Table2'!$D$4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A0-4714-8058-E62E1894AF48}"/>
            </c:ext>
          </c:extLst>
        </c:ser>
        <c:ser>
          <c:idx val="4"/>
          <c:order val="4"/>
          <c:tx>
            <c:strRef>
              <c:f>'Pivot Table2'!$E$3</c:f>
              <c:strCache>
                <c:ptCount val="1"/>
                <c:pt idx="0">
                  <c:v>Count of Ashneer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Table2'!$A$4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Table2'!$E$4</c:f>
              <c:numCache>
                <c:formatCode>General</c:formatCode>
                <c:ptCount val="1"/>
                <c:pt idx="0">
                  <c:v>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A0-4714-8058-E62E1894AF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952064"/>
        <c:axId val="1261953024"/>
      </c:barChart>
      <c:catAx>
        <c:axId val="12619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53024"/>
        <c:crosses val="autoZero"/>
        <c:auto val="1"/>
        <c:lblAlgn val="ctr"/>
        <c:lblOffset val="100"/>
        <c:noMultiLvlLbl val="0"/>
      </c:catAx>
      <c:valAx>
        <c:axId val="126195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[SharkTank_Project.xlsx]Pivot Table1!PivotTable9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Industry Funding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Table1'!$A$4:$A$121</c:f>
              <c:strCache>
                <c:ptCount val="117"/>
                <c:pt idx="0">
                  <c:v>Agricultural Innovations</c:v>
                </c:pt>
                <c:pt idx="1">
                  <c:v>All-Kabaddi App</c:v>
                </c:pt>
                <c:pt idx="2">
                  <c:v>Anti-Suicidal Fan Rod</c:v>
                </c:pt>
                <c:pt idx="3">
                  <c:v>Automatic Cradle</c:v>
                </c:pt>
                <c:pt idx="4">
                  <c:v>Automation Solutions</c:v>
                </c:pt>
                <c:pt idx="5">
                  <c:v>Ayurvedic Enriched Food</c:v>
                </c:pt>
                <c:pt idx="6">
                  <c:v>Ayurvedic Products</c:v>
                </c:pt>
                <c:pt idx="7">
                  <c:v>Ayurvedic Wellness App</c:v>
                </c:pt>
                <c:pt idx="8">
                  <c:v>Bacon Jams</c:v>
                </c:pt>
                <c:pt idx="9">
                  <c:v>Bags</c:v>
                </c:pt>
                <c:pt idx="10">
                  <c:v>Bamboo Products</c:v>
                </c:pt>
                <c:pt idx="11">
                  <c:v>Belly Button Shaper</c:v>
                </c:pt>
                <c:pt idx="12">
                  <c:v>Braille Literary Device</c:v>
                </c:pt>
                <c:pt idx="13">
                  <c:v>Brain Development Course</c:v>
                </c:pt>
                <c:pt idx="14">
                  <c:v>Can Cocktails</c:v>
                </c:pt>
                <c:pt idx="15">
                  <c:v>Carenting for Elders</c:v>
                </c:pt>
                <c:pt idx="16">
                  <c:v>Child Development App</c:v>
                </c:pt>
                <c:pt idx="17">
                  <c:v>Coconut based beverage franchise</c:v>
                </c:pt>
                <c:pt idx="18">
                  <c:v>Coffee Products</c:v>
                </c:pt>
                <c:pt idx="19">
                  <c:v>Comics &amp; Animation</c:v>
                </c:pt>
                <c:pt idx="20">
                  <c:v>Customised Apparels</c:v>
                </c:pt>
                <c:pt idx="21">
                  <c:v>Customised Keto Diets for various medical issues</c:v>
                </c:pt>
                <c:pt idx="22">
                  <c:v>Customised Streetwear</c:v>
                </c:pt>
                <c:pt idx="23">
                  <c:v>Delicacies</c:v>
                </c:pt>
                <c:pt idx="24">
                  <c:v>Detachable Sleeves</c:v>
                </c:pt>
                <c:pt idx="25">
                  <c:v>Digital Piggy Bank</c:v>
                </c:pt>
                <c:pt idx="26">
                  <c:v>Disposable Urine Bag</c:v>
                </c:pt>
                <c:pt idx="27">
                  <c:v>Dog Hygiene</c:v>
                </c:pt>
                <c:pt idx="28">
                  <c:v>Dog Products</c:v>
                </c:pt>
                <c:pt idx="29">
                  <c:v>E-Bike</c:v>
                </c:pt>
                <c:pt idx="30">
                  <c:v>Eco-Friendly boxes</c:v>
                </c:pt>
                <c:pt idx="31">
                  <c:v>EdTech App</c:v>
                </c:pt>
                <c:pt idx="32">
                  <c:v>Eggs</c:v>
                </c:pt>
                <c:pt idx="33">
                  <c:v>Electric Auto Vehicle</c:v>
                </c:pt>
                <c:pt idx="34">
                  <c:v>Energy Drink</c:v>
                </c:pt>
                <c:pt idx="35">
                  <c:v>Fastest Cooking Device</c:v>
                </c:pt>
                <c:pt idx="36">
                  <c:v>Fiber Ice Cream</c:v>
                </c:pt>
                <c:pt idx="37">
                  <c:v>Flowers</c:v>
                </c:pt>
                <c:pt idx="38">
                  <c:v>Food Freshness Detector</c:v>
                </c:pt>
                <c:pt idx="39">
                  <c:v>Fresh Fruits</c:v>
                </c:pt>
                <c:pt idx="40">
                  <c:v>Frozen Momos</c:v>
                </c:pt>
                <c:pt idx="41">
                  <c:v>Funeral Service</c:v>
                </c:pt>
                <c:pt idx="42">
                  <c:v>Gadgets for visually impaired people</c:v>
                </c:pt>
                <c:pt idx="43">
                  <c:v>Gifts</c:v>
                </c:pt>
                <c:pt idx="44">
                  <c:v>Handicrafts</c:v>
                </c:pt>
                <c:pt idx="45">
                  <c:v>Handmade Reusable Scrap Materials</c:v>
                </c:pt>
                <c:pt idx="46">
                  <c:v>Healthy Food Snacks</c:v>
                </c:pt>
                <c:pt idx="47">
                  <c:v>Healthy Oils</c:v>
                </c:pt>
                <c:pt idx="48">
                  <c:v>Healthy Potato Chips</c:v>
                </c:pt>
                <c:pt idx="49">
                  <c:v>Healthy Snacks</c:v>
                </c:pt>
                <c:pt idx="50">
                  <c:v>Hemp Food Products</c:v>
                </c:pt>
                <c:pt idx="51">
                  <c:v>Home Dialysis Treatment</c:v>
                </c:pt>
                <c:pt idx="52">
                  <c:v>Homemade Foods</c:v>
                </c:pt>
                <c:pt idx="53">
                  <c:v>Ice-Pops</c:v>
                </c:pt>
                <c:pt idx="54">
                  <c:v>Indian Sweets</c:v>
                </c:pt>
                <c:pt idx="55">
                  <c:v>Insoles</c:v>
                </c:pt>
                <c:pt idx="56">
                  <c:v>Insurance Solutions</c:v>
                </c:pt>
                <c:pt idx="57">
                  <c:v>Intelligent Skincare</c:v>
                </c:pt>
                <c:pt idx="58">
                  <c:v>Inventions</c:v>
                </c:pt>
                <c:pt idx="59">
                  <c:v>Jackfruit Products</c:v>
                </c:pt>
                <c:pt idx="60">
                  <c:v>Kerala Banana Chips</c:v>
                </c:pt>
                <c:pt idx="61">
                  <c:v>Kheer in variety of flavors</c:v>
                </c:pt>
                <c:pt idx="62">
                  <c:v>Kunafa</c:v>
                </c:pt>
                <c:pt idx="63">
                  <c:v>Leather-free Shoes</c:v>
                </c:pt>
                <c:pt idx="64">
                  <c:v>Lemonade</c:v>
                </c:pt>
                <c:pt idx="65">
                  <c:v>Liquid Water Enhancer</c:v>
                </c:pt>
                <c:pt idx="66">
                  <c:v>Livestock health monitoring AI</c:v>
                </c:pt>
                <c:pt idx="67">
                  <c:v>LPG Cylinder lock</c:v>
                </c:pt>
                <c:pt idx="68">
                  <c:v>Male Intimate Hygiene</c:v>
                </c:pt>
                <c:pt idx="69">
                  <c:v>Meads</c:v>
                </c:pt>
                <c:pt idx="70">
                  <c:v>Menstrual Awareness Comic</c:v>
                </c:pt>
                <c:pt idx="71">
                  <c:v>Metaverse App</c:v>
                </c:pt>
                <c:pt idx="72">
                  <c:v>Motorcycle Luggage</c:v>
                </c:pt>
                <c:pt idx="73">
                  <c:v>Natural Hair Extensions</c:v>
                </c:pt>
                <c:pt idx="74">
                  <c:v>Organic Milk Products</c:v>
                </c:pt>
                <c:pt idx="75">
                  <c:v>Perfumes</c:v>
                </c:pt>
                <c:pt idx="76">
                  <c:v>Pickle</c:v>
                </c:pt>
                <c:pt idx="77">
                  <c:v>Plant-Based Protein</c:v>
                </c:pt>
                <c:pt idx="78">
                  <c:v>Pollution Resistant Fabric</c:v>
                </c:pt>
                <c:pt idx="79">
                  <c:v>Portable ECG Device</c:v>
                </c:pt>
                <c:pt idx="80">
                  <c:v>Portable Glass Attachment</c:v>
                </c:pt>
                <c:pt idx="81">
                  <c:v>Portable opthalmic devices</c:v>
                </c:pt>
                <c:pt idx="82">
                  <c:v>Pothole Detection Software and Data</c:v>
                </c:pt>
                <c:pt idx="83">
                  <c:v>Premium Surprise-Planning</c:v>
                </c:pt>
                <c:pt idx="84">
                  <c:v>Prickless Diabetes Testing Machine</c:v>
                </c:pt>
                <c:pt idx="85">
                  <c:v>Proposal Solutions</c:v>
                </c:pt>
                <c:pt idx="86">
                  <c:v>Renting e-bike for mobility in private spaces</c:v>
                </c:pt>
                <c:pt idx="87">
                  <c:v>Restaurant serving 80 types of Maggi</c:v>
                </c:pt>
                <c:pt idx="88">
                  <c:v>Reversible and convertible clothing</c:v>
                </c:pt>
                <c:pt idx="89">
                  <c:v>Rewards App</c:v>
                </c:pt>
                <c:pt idx="90">
                  <c:v>Roasted Peanut Products</c:v>
                </c:pt>
                <c:pt idx="91">
                  <c:v>Robotics and Automation Solutions</c:v>
                </c:pt>
                <c:pt idx="92">
                  <c:v>Scholarship Platform</c:v>
                </c:pt>
                <c:pt idx="93">
                  <c:v>Smart Audio Products</c:v>
                </c:pt>
                <c:pt idx="94">
                  <c:v>Smart Electric Motorcycle</c:v>
                </c:pt>
                <c:pt idx="95">
                  <c:v>Smart Helmets</c:v>
                </c:pt>
                <c:pt idx="96">
                  <c:v>Smart Locks</c:v>
                </c:pt>
                <c:pt idx="97">
                  <c:v>Sneaker Resale</c:v>
                </c:pt>
                <c:pt idx="98">
                  <c:v>Sportswear</c:v>
                </c:pt>
                <c:pt idx="99">
                  <c:v>Stainless Steel Items</c:v>
                </c:pt>
                <c:pt idx="100">
                  <c:v>Streaming Platform</c:v>
                </c:pt>
                <c:pt idx="101">
                  <c:v>Streetwear</c:v>
                </c:pt>
                <c:pt idx="102">
                  <c:v>Student Community App</c:v>
                </c:pt>
                <c:pt idx="103">
                  <c:v>Sugar-Free Icecream</c:v>
                </c:pt>
                <c:pt idx="104">
                  <c:v>Technology layered Advertisement Services</c:v>
                </c:pt>
                <c:pt idx="105">
                  <c:v>Thin Crust Pizza</c:v>
                </c:pt>
                <c:pt idx="106">
                  <c:v>Toilet Spray with Essential Oils</c:v>
                </c:pt>
                <c:pt idx="107">
                  <c:v>Tourism</c:v>
                </c:pt>
                <c:pt idx="108">
                  <c:v>Underwear</c:v>
                </c:pt>
                <c:pt idx="109">
                  <c:v>Vegan Fermented Food</c:v>
                </c:pt>
                <c:pt idx="110">
                  <c:v>Vegetables Storage</c:v>
                </c:pt>
                <c:pt idx="111">
                  <c:v>Ventilated PPE Kits</c:v>
                </c:pt>
                <c:pt idx="112">
                  <c:v>VR</c:v>
                </c:pt>
                <c:pt idx="113">
                  <c:v>Wall Building</c:v>
                </c:pt>
                <c:pt idx="114">
                  <c:v>Washroom Finder</c:v>
                </c:pt>
                <c:pt idx="115">
                  <c:v>Wooden Toys</c:v>
                </c:pt>
                <c:pt idx="116">
                  <c:v>Yarn-Trading App</c:v>
                </c:pt>
              </c:strCache>
            </c:strRef>
          </c:cat>
          <c:val>
            <c:numRef>
              <c:f>'Pivot Table1'!$B$4:$B$121</c:f>
              <c:numCache>
                <c:formatCode>General</c:formatCode>
                <c:ptCount val="117"/>
                <c:pt idx="0">
                  <c:v>10</c:v>
                </c:pt>
                <c:pt idx="1">
                  <c:v>80</c:v>
                </c:pt>
                <c:pt idx="2">
                  <c:v>50</c:v>
                </c:pt>
                <c:pt idx="3">
                  <c:v>0</c:v>
                </c:pt>
                <c:pt idx="4">
                  <c:v>0</c:v>
                </c:pt>
                <c:pt idx="5">
                  <c:v>50</c:v>
                </c:pt>
                <c:pt idx="6">
                  <c:v>75</c:v>
                </c:pt>
                <c:pt idx="7">
                  <c:v>75</c:v>
                </c:pt>
                <c:pt idx="8">
                  <c:v>40</c:v>
                </c:pt>
                <c:pt idx="9">
                  <c:v>0</c:v>
                </c:pt>
                <c:pt idx="10">
                  <c:v>50</c:v>
                </c:pt>
                <c:pt idx="11">
                  <c:v>0</c:v>
                </c:pt>
                <c:pt idx="12">
                  <c:v>10</c:v>
                </c:pt>
                <c:pt idx="13">
                  <c:v>0</c:v>
                </c:pt>
                <c:pt idx="14">
                  <c:v>10</c:v>
                </c:pt>
                <c:pt idx="15">
                  <c:v>0</c:v>
                </c:pt>
                <c:pt idx="16">
                  <c:v>10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35</c:v>
                </c:pt>
                <c:pt idx="21">
                  <c:v>0</c:v>
                </c:pt>
                <c:pt idx="22">
                  <c:v>30</c:v>
                </c:pt>
                <c:pt idx="23">
                  <c:v>40</c:v>
                </c:pt>
                <c:pt idx="24">
                  <c:v>25</c:v>
                </c:pt>
                <c:pt idx="25">
                  <c:v>0</c:v>
                </c:pt>
                <c:pt idx="26">
                  <c:v>75</c:v>
                </c:pt>
                <c:pt idx="27">
                  <c:v>0</c:v>
                </c:pt>
                <c:pt idx="28">
                  <c:v>50</c:v>
                </c:pt>
                <c:pt idx="29">
                  <c:v>10</c:v>
                </c:pt>
                <c:pt idx="30">
                  <c:v>50</c:v>
                </c:pt>
                <c:pt idx="31">
                  <c:v>15</c:v>
                </c:pt>
                <c:pt idx="32">
                  <c:v>30</c:v>
                </c:pt>
                <c:pt idx="33">
                  <c:v>1</c:v>
                </c:pt>
                <c:pt idx="34">
                  <c:v>20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75</c:v>
                </c:pt>
                <c:pt idx="41">
                  <c:v>0</c:v>
                </c:pt>
                <c:pt idx="42">
                  <c:v>0</c:v>
                </c:pt>
                <c:pt idx="43">
                  <c:v>50</c:v>
                </c:pt>
                <c:pt idx="44">
                  <c:v>65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70</c:v>
                </c:pt>
                <c:pt idx="49">
                  <c:v>45</c:v>
                </c:pt>
                <c:pt idx="50">
                  <c:v>0</c:v>
                </c:pt>
                <c:pt idx="51">
                  <c:v>10</c:v>
                </c:pt>
                <c:pt idx="52">
                  <c:v>0</c:v>
                </c:pt>
                <c:pt idx="53">
                  <c:v>10</c:v>
                </c:pt>
                <c:pt idx="54">
                  <c:v>0</c:v>
                </c:pt>
                <c:pt idx="55">
                  <c:v>40</c:v>
                </c:pt>
                <c:pt idx="56">
                  <c:v>10</c:v>
                </c:pt>
                <c:pt idx="57">
                  <c:v>50</c:v>
                </c:pt>
                <c:pt idx="58">
                  <c:v>25</c:v>
                </c:pt>
                <c:pt idx="59">
                  <c:v>75</c:v>
                </c:pt>
                <c:pt idx="60">
                  <c:v>50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40</c:v>
                </c:pt>
                <c:pt idx="65">
                  <c:v>75</c:v>
                </c:pt>
                <c:pt idx="66">
                  <c:v>60</c:v>
                </c:pt>
                <c:pt idx="67">
                  <c:v>0</c:v>
                </c:pt>
                <c:pt idx="68">
                  <c:v>25</c:v>
                </c:pt>
                <c:pt idx="69">
                  <c:v>0</c:v>
                </c:pt>
                <c:pt idx="70">
                  <c:v>50</c:v>
                </c:pt>
                <c:pt idx="71">
                  <c:v>40</c:v>
                </c:pt>
                <c:pt idx="72">
                  <c:v>0</c:v>
                </c:pt>
                <c:pt idx="73">
                  <c:v>60</c:v>
                </c:pt>
                <c:pt idx="74">
                  <c:v>10</c:v>
                </c:pt>
                <c:pt idx="75">
                  <c:v>50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</c:v>
                </c:pt>
                <c:pt idx="80">
                  <c:v>0</c:v>
                </c:pt>
                <c:pt idx="81">
                  <c:v>0</c:v>
                </c:pt>
                <c:pt idx="82">
                  <c:v>80</c:v>
                </c:pt>
                <c:pt idx="83">
                  <c:v>0</c:v>
                </c:pt>
                <c:pt idx="84">
                  <c:v>56</c:v>
                </c:pt>
                <c:pt idx="85">
                  <c:v>0</c:v>
                </c:pt>
                <c:pt idx="86">
                  <c:v>40</c:v>
                </c:pt>
                <c:pt idx="87">
                  <c:v>0</c:v>
                </c:pt>
                <c:pt idx="88">
                  <c:v>0</c:v>
                </c:pt>
                <c:pt idx="89">
                  <c:v>50</c:v>
                </c:pt>
                <c:pt idx="90">
                  <c:v>0</c:v>
                </c:pt>
                <c:pt idx="91">
                  <c:v>25</c:v>
                </c:pt>
                <c:pt idx="92">
                  <c:v>0</c:v>
                </c:pt>
                <c:pt idx="93">
                  <c:v>10</c:v>
                </c:pt>
                <c:pt idx="94">
                  <c:v>30</c:v>
                </c:pt>
                <c:pt idx="95">
                  <c:v>50</c:v>
                </c:pt>
                <c:pt idx="96">
                  <c:v>0</c:v>
                </c:pt>
                <c:pt idx="97">
                  <c:v>50</c:v>
                </c:pt>
                <c:pt idx="98">
                  <c:v>60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30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75</c:v>
                </c:pt>
                <c:pt idx="109">
                  <c:v>0</c:v>
                </c:pt>
                <c:pt idx="110">
                  <c:v>0</c:v>
                </c:pt>
                <c:pt idx="111">
                  <c:v>10</c:v>
                </c:pt>
                <c:pt idx="112">
                  <c:v>10</c:v>
                </c:pt>
                <c:pt idx="113">
                  <c:v>50</c:v>
                </c:pt>
                <c:pt idx="114">
                  <c:v>0</c:v>
                </c:pt>
                <c:pt idx="115">
                  <c:v>50</c:v>
                </c:pt>
                <c:pt idx="1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50-4C26-A8D0-9385B2ECC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935744"/>
        <c:axId val="1261931904"/>
      </c:barChart>
      <c:catAx>
        <c:axId val="126193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31904"/>
        <c:crosses val="autoZero"/>
        <c:auto val="1"/>
        <c:lblAlgn val="ctr"/>
        <c:lblOffset val="100"/>
        <c:noMultiLvlLbl val="0"/>
      </c:catAx>
      <c:valAx>
        <c:axId val="126193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193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386954</xdr:colOff>
      <xdr:row>31</xdr:row>
      <xdr:rowOff>79375</xdr:rowOff>
    </xdr:from>
    <xdr:to>
      <xdr:col>25</xdr:col>
      <xdr:colOff>357189</xdr:colOff>
      <xdr:row>54</xdr:row>
      <xdr:rowOff>-1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FCA86-F794-4C5F-B0AC-1E4DAFB385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228203</xdr:colOff>
      <xdr:row>31</xdr:row>
      <xdr:rowOff>29767</xdr:rowOff>
    </xdr:from>
    <xdr:to>
      <xdr:col>11</xdr:col>
      <xdr:colOff>515937</xdr:colOff>
      <xdr:row>53</xdr:row>
      <xdr:rowOff>29765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2A088B-96B9-4BC6-86A0-8788F105EF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317500</xdr:colOff>
      <xdr:row>3</xdr:row>
      <xdr:rowOff>158751</xdr:rowOff>
    </xdr:from>
    <xdr:to>
      <xdr:col>25</xdr:col>
      <xdr:colOff>49609</xdr:colOff>
      <xdr:row>25</xdr:row>
      <xdr:rowOff>79375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584252-AC0E-4975-8F10-82D5A679AC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248048</xdr:colOff>
      <xdr:row>2</xdr:row>
      <xdr:rowOff>119063</xdr:rowOff>
    </xdr:from>
    <xdr:to>
      <xdr:col>11</xdr:col>
      <xdr:colOff>367111</xdr:colOff>
      <xdr:row>26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EBFABD-54DE-4DF1-9E9B-362A6FEAA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00.885757638891" createdVersion="8" refreshedVersion="8" minRefreshableVersion="3" recordCount="117" xr:uid="{C4BD7440-AC01-4171-AF9D-56814642EADD}">
  <cacheSource type="worksheet">
    <worksheetSource ref="A1:M118" sheet="ShartankIndiaAllPitches"/>
  </cacheSource>
  <cacheFields count="13">
    <cacheField name="Episode Number" numFmtId="0">
      <sharedItems containsSemiMixedTypes="0" containsString="0" containsNumber="1" containsInteger="1" minValue="1" maxValue="35"/>
    </cacheField>
    <cacheField name="Pitch Number" numFmtId="0">
      <sharedItems containsSemiMixedTypes="0" containsString="0" containsNumber="1" containsInteger="1" minValue="1" maxValue="117" count="11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</sharedItems>
    </cacheField>
    <cacheField name="Brand" numFmtId="0">
      <sharedItems/>
    </cacheField>
    <cacheField name="Industry" numFmtId="0">
      <sharedItems count="117">
        <s v="Frozen Momos"/>
        <s v="Renting e-bike for mobility in private spaces"/>
        <s v="Detachable Sleeves"/>
        <s v="Healthy Potato Chips"/>
        <s v="Brain Development Course"/>
        <s v="Tourism"/>
        <s v="Food Freshness Detector"/>
        <s v="Disposable Urine Bag"/>
        <s v="Energy Drink"/>
        <s v="Intelligent Skincare"/>
        <s v="Pickle"/>
        <s v="Underwear"/>
        <s v="E-Bike"/>
        <s v="Restaurant serving 80 types of Maggi"/>
        <s v="Belly Button Shaper"/>
        <s v="Ice-Pops"/>
        <s v="Menstrual Awareness Comic"/>
        <s v="Pollution Resistant Fabric"/>
        <s v="Child Development App"/>
        <s v="Gadgets for visually impaired people"/>
        <s v="Kheer in variety of flavors"/>
        <s v="Kerala Banana Chips"/>
        <s v="Prickless Diabetes Testing Machine"/>
        <s v="Smart Electric Motorcycle"/>
        <s v="Smart Helmets"/>
        <s v="Wooden Toys"/>
        <s v="Healthy Oils"/>
        <s v="Male Intimate Hygiene"/>
        <s v="Eggs"/>
        <s v="Student Community App"/>
        <s v="Fiber Ice Cream"/>
        <s v="Wall Building"/>
        <s v="Customised Streetwear"/>
        <s v="Ayurvedic Products"/>
        <s v="Indian Sweets"/>
        <s v="Metaverse App"/>
        <s v="Braille Literary Device"/>
        <s v="Eco-Friendly boxes"/>
        <s v="Yarn-Trading App"/>
        <s v="Home Dialysis Treatment"/>
        <s v="Healthy Food Snacks"/>
        <s v="Digital Piggy Bank"/>
        <s v="Smart Audio Products"/>
        <s v="Robotics and Automation Solutions"/>
        <s v="Coconut based beverage franchise"/>
        <s v="Bamboo Products"/>
        <s v="Dog Hygiene"/>
        <s v="Liquid Water Enhancer"/>
        <s v="Healthy Snacks"/>
        <s v="Sneaker Resale"/>
        <s v="EdTech App"/>
        <s v="Premium Surprise-Planning"/>
        <s v="Pothole Detection Software and Data"/>
        <s v="Thin Crust Pizza"/>
        <s v="Hemp Food Products"/>
        <s v="Electric Auto Vehicle"/>
        <s v="Funeral Service"/>
        <s v="Leather-free Shoes"/>
        <s v="Livestock health monitoring AI"/>
        <s v="Customised Keto Diets for various medical issues"/>
        <s v="LPG Cylinder lock"/>
        <s v="Delicacies"/>
        <s v="Comics &amp; Animation"/>
        <s v="Can Cocktails"/>
        <s v="Sugar-Free Icecream"/>
        <s v="Inventions"/>
        <s v="Customised Apparels"/>
        <s v="Natural Hair Extensions"/>
        <s v="Toilet Spray with Essential Oils"/>
        <s v="Meads"/>
        <s v="Fresh Fruits"/>
        <s v="Ayurvedic Enriched Food"/>
        <s v="Streetwear"/>
        <s v="Motorcycle Luggage"/>
        <s v="Bags"/>
        <s v="Gifts"/>
        <s v="Agricultural Innovations"/>
        <s v="Homemade Foods"/>
        <s v="Dog Products"/>
        <s v="Portable ECG Device"/>
        <s v="Roasted Peanut Products"/>
        <s v="Perfumes"/>
        <s v="Automatic Cradle"/>
        <s v="Handicrafts"/>
        <s v="Coffee Products"/>
        <s v="Ventilated PPE Kits"/>
        <s v="Automation Solutions"/>
        <s v="Insurance Solutions"/>
        <s v="Organic Milk Products"/>
        <s v="Kunafa"/>
        <s v="Anti-Suicidal Fan Rod"/>
        <s v="Jackfruit Products"/>
        <s v="Stainless Steel Items"/>
        <s v="Streaming Platform"/>
        <s v="Portable Glass Attachment"/>
        <s v="All-Kabaddi App"/>
        <s v="Flowers"/>
        <s v="Scholarship Platform"/>
        <s v="Handmade Reusable Scrap Materials"/>
        <s v="Vegetables Storage"/>
        <s v="Ayurvedic Wellness App"/>
        <s v="Smart Locks"/>
        <s v="Proposal Solutions"/>
        <s v="Technology layered Advertisement Services"/>
        <s v="Rewards App"/>
        <s v="Portable opthalmic devices"/>
        <s v="Insoles"/>
        <s v="Vegan Fermented Food"/>
        <s v="Sportswear"/>
        <s v="VR"/>
        <s v="Bacon Jams"/>
        <s v="Reversible and convertible clothing"/>
        <s v="Plant-Based Protein"/>
        <s v="Fastest Cooking Device"/>
        <s v="Lemonade"/>
        <s v="Washroom Finder"/>
        <s v="Carenting for Elders"/>
      </sharedItems>
    </cacheField>
    <cacheField name="Investment Amount (In Lakhs INR) " numFmtId="0">
      <sharedItems containsSemiMixedTypes="0" containsString="0" containsNumber="1" containsInteger="1" minValue="0" maxValue="80" count="18">
        <n v="75"/>
        <n v="40"/>
        <n v="25"/>
        <n v="70"/>
        <n v="0"/>
        <n v="20"/>
        <n v="50"/>
        <n v="10"/>
        <n v="56"/>
        <n v="30"/>
        <n v="5"/>
        <n v="45"/>
        <n v="15"/>
        <n v="80"/>
        <n v="1"/>
        <n v="60"/>
        <n v="35"/>
        <n v="65"/>
      </sharedItems>
    </cacheField>
    <cacheField name="Debt (In lakhs INR)" numFmtId="0">
      <sharedItems containsSemiMixedTypes="0" containsString="0" containsNumber="1" containsInteger="1" minValue="0" maxValue="99"/>
    </cacheField>
    <cacheField name="Equity" numFmtId="0">
      <sharedItems containsSemiMixedTypes="0" containsString="0" containsNumber="1" minValue="0" maxValue="0.75"/>
    </cacheField>
    <cacheField name="Anupam" numFmtId="0">
      <sharedItems count="2">
        <s v="N"/>
        <s v="Y"/>
      </sharedItems>
    </cacheField>
    <cacheField name="Ashneer" numFmtId="0">
      <sharedItems count="2">
        <s v="Y"/>
        <s v="N"/>
      </sharedItems>
    </cacheField>
    <cacheField name="Namita" numFmtId="0">
      <sharedItems count="2">
        <s v="N"/>
        <s v="Y"/>
      </sharedItems>
    </cacheField>
    <cacheField name="Aman" numFmtId="0">
      <sharedItems count="2">
        <s v="Y"/>
        <s v="N"/>
      </sharedItems>
    </cacheField>
    <cacheField name="Vineeta" numFmtId="0">
      <sharedItems count="2">
        <s v="Y"/>
        <s v="N"/>
      </sharedItems>
    </cacheField>
    <cacheField name="Season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LI" refreshedDate="46100.994660069446" createdVersion="8" refreshedVersion="8" minRefreshableVersion="3" recordCount="117" xr:uid="{9170C002-A9F6-45C7-AC92-6AA4DA968BA3}">
  <cacheSource type="worksheet">
    <worksheetSource ref="A1:N118" sheet="ShartankIndiaAllPitches"/>
  </cacheSource>
  <cacheFields count="14">
    <cacheField name="Episode Number" numFmtId="0">
      <sharedItems containsSemiMixedTypes="0" containsString="0" containsNumber="1" containsInteger="1" minValue="1" maxValue="35"/>
    </cacheField>
    <cacheField name="Pitch Number" numFmtId="0">
      <sharedItems containsSemiMixedTypes="0" containsString="0" containsNumber="1" containsInteger="1" minValue="1" maxValue="117"/>
    </cacheField>
    <cacheField name="Brand" numFmtId="0">
      <sharedItems count="117">
        <s v="BluePine Industries"/>
        <s v="Booz scooters"/>
        <s v="Heart up my Sleeves"/>
        <s v="Tagz Foods"/>
        <s v="Head and Heart"/>
        <s v="Agro tourism"/>
        <s v="Qzense Labs"/>
        <s v="Peeschute"/>
        <s v="NOCD"/>
        <s v="Cosiq"/>
        <s v="JhaJi Achaar"/>
        <s v="Bummer"/>
        <s v="Revamp Moto"/>
        <s v="Hungry Heads"/>
        <s v="Shrawani Engineers"/>
        <s v="Skippi Pops"/>
        <s v="Menstrupedia"/>
        <s v="Hecolll"/>
        <s v="Raising Superstars"/>
        <s v="Torch-it"/>
        <s v="La Kheer Deli"/>
        <s v="Beyond Snack"/>
        <s v="Vivalyf Innovations- Easy Life"/>
        <s v="Motion Breeze"/>
        <s v="Altor"/>
        <s v="Ariro"/>
        <s v="Kabira Handmade"/>
        <s v="Nuutjob"/>
        <s v="Meatyour"/>
        <s v="EventBeep"/>
        <s v="Gopal's 56"/>
        <s v="ARRCOAT Surface Textures"/>
        <s v="Farda"/>
        <s v="Auli Lifestyle"/>
        <s v="SweeDesi"/>
        <s v="LOKA"/>
        <s v="Annie"/>
        <s v="Caragreen"/>
        <s v="The Yarn Bazaar"/>
        <s v="The Renal Project"/>
        <s v="Morikko Pure Foods"/>
        <s v="Good Good Piggy Bank"/>
        <s v="Hammer Lifestyle"/>
        <s v="PNT"/>
        <s v="Cocofit"/>
        <s v="Bamboo India"/>
        <s v="Flying Furr"/>
        <s v="Beyond Water"/>
        <s v="Let's Try"/>
        <s v="Find Your Kicks India"/>
        <s v="Aas Vidyalaya"/>
        <s v="Outbox"/>
        <s v="RoadBounce"/>
        <s v="Mommy's Kitchen"/>
        <s v="India Hemp and Co"/>
        <s v="Otua"/>
        <s v="Anthyesti"/>
        <s v="Ethik"/>
        <s v="WeSTOCK"/>
        <s v="KetoIndia"/>
        <s v="Magic lock"/>
        <s v="The State Plate"/>
        <s v="Bakarmax"/>
        <s v="IN A CAN"/>
        <s v="Get a Whey"/>
        <s v="Sid07 Designs"/>
        <s v="The Quirky Nari"/>
        <s v="Hair Originals"/>
        <s v="Poo de Cologne"/>
        <s v="Moonshine Meads"/>
        <s v="Falhari"/>
        <s v="Namhya Foods"/>
        <s v="Urban Monkey"/>
        <s v="Guardian Gears"/>
        <s v="Modern Myth"/>
        <s v="The Sass Bar"/>
        <s v="KG Agrotech"/>
        <s v="Nuskha Kitchen"/>
        <s v="PawsIndia"/>
        <s v="Sunfox Technologies"/>
        <s v="Alpino"/>
        <s v="Isak Fragrances"/>
        <s v="Julaa Automation"/>
        <s v="Rare Planet"/>
        <s v="Theka Coffee"/>
        <s v="Watt Technovations"/>
        <s v="Aliste Technologies"/>
        <s v="Insurance Samadhan"/>
        <s v="Humpy A2"/>
        <s v="Kunafa World"/>
        <s v="Gold Safe Solutions Ind."/>
        <s v="Wakao Foods"/>
        <s v="PDD Falcon"/>
        <s v="PlayBox TV"/>
        <s v="Sippline Drinking Shields"/>
        <s v="Kabaddi Adda"/>
        <s v="Shades of Spring"/>
        <s v="Scholify"/>
        <s v="Scrapshala"/>
        <s v="Sabjikothi"/>
        <s v="AyuRythm"/>
        <s v="Astrix"/>
        <s v="Thea and Sid"/>
        <s v="Experential Etc"/>
        <s v="GrowFitter"/>
        <s v="Med Tech"/>
        <s v="Colour Me Mad"/>
        <s v="Mavi's"/>
        <s v="Tweek Labs"/>
        <s v="Proxgy"/>
        <s v="Nomad Food Project"/>
        <s v="Twee in One"/>
        <s v="Green Protein"/>
        <s v="On2Cook"/>
        <s v="Jain Shikanji"/>
        <s v="Woloo"/>
        <s v="Elcare India"/>
      </sharedItems>
    </cacheField>
    <cacheField name="Industry" numFmtId="0">
      <sharedItems count="117">
        <s v="Frozen Momos"/>
        <s v="Renting e-bike for mobility in private spaces"/>
        <s v="Detachable Sleeves"/>
        <s v="Healthy Potato Chips"/>
        <s v="Brain Development Course"/>
        <s v="Tourism"/>
        <s v="Food Freshness Detector"/>
        <s v="Disposable Urine Bag"/>
        <s v="Energy Drink"/>
        <s v="Intelligent Skincare"/>
        <s v="Pickle"/>
        <s v="Underwear"/>
        <s v="E-Bike"/>
        <s v="Restaurant serving 80 types of Maggi"/>
        <s v="Belly Button Shaper"/>
        <s v="Ice-Pops"/>
        <s v="Menstrual Awareness Comic"/>
        <s v="Pollution Resistant Fabric"/>
        <s v="Child Development App"/>
        <s v="Gadgets for visually impaired people"/>
        <s v="Kheer in variety of flavors"/>
        <s v="Kerala Banana Chips"/>
        <s v="Prickless Diabetes Testing Machine"/>
        <s v="Smart Electric Motorcycle"/>
        <s v="Smart Helmets"/>
        <s v="Wooden Toys"/>
        <s v="Healthy Oils"/>
        <s v="Male Intimate Hygiene"/>
        <s v="Eggs"/>
        <s v="Student Community App"/>
        <s v="Fiber Ice Cream"/>
        <s v="Wall Building"/>
        <s v="Customised Streetwear"/>
        <s v="Ayurvedic Products"/>
        <s v="Indian Sweets"/>
        <s v="Metaverse App"/>
        <s v="Braille Literary Device"/>
        <s v="Eco-Friendly boxes"/>
        <s v="Yarn-Trading App"/>
        <s v="Home Dialysis Treatment"/>
        <s v="Healthy Food Snacks"/>
        <s v="Digital Piggy Bank"/>
        <s v="Smart Audio Products"/>
        <s v="Robotics and Automation Solutions"/>
        <s v="Coconut based beverage franchise"/>
        <s v="Bamboo Products"/>
        <s v="Dog Hygiene"/>
        <s v="Liquid Water Enhancer"/>
        <s v="Healthy Snacks"/>
        <s v="Sneaker Resale"/>
        <s v="EdTech App"/>
        <s v="Premium Surprise-Planning"/>
        <s v="Pothole Detection Software and Data"/>
        <s v="Thin Crust Pizza"/>
        <s v="Hemp Food Products"/>
        <s v="Electric Auto Vehicle"/>
        <s v="Funeral Service"/>
        <s v="Leather-free Shoes"/>
        <s v="Livestock health monitoring AI"/>
        <s v="Customised Keto Diets for various medical issues"/>
        <s v="LPG Cylinder lock"/>
        <s v="Delicacies"/>
        <s v="Comics &amp; Animation"/>
        <s v="Can Cocktails"/>
        <s v="Sugar-Free Icecream"/>
        <s v="Inventions"/>
        <s v="Customised Apparels"/>
        <s v="Natural Hair Extensions"/>
        <s v="Toilet Spray with Essential Oils"/>
        <s v="Meads"/>
        <s v="Fresh Fruits"/>
        <s v="Ayurvedic Enriched Food"/>
        <s v="Streetwear"/>
        <s v="Motorcycle Luggage"/>
        <s v="Bags"/>
        <s v="Gifts"/>
        <s v="Agricultural Innovations"/>
        <s v="Homemade Foods"/>
        <s v="Dog Products"/>
        <s v="Portable ECG Device"/>
        <s v="Roasted Peanut Products"/>
        <s v="Perfumes"/>
        <s v="Automatic Cradle"/>
        <s v="Handicrafts"/>
        <s v="Coffee Products"/>
        <s v="Ventilated PPE Kits"/>
        <s v="Automation Solutions"/>
        <s v="Insurance Solutions"/>
        <s v="Organic Milk Products"/>
        <s v="Kunafa"/>
        <s v="Anti-Suicidal Fan Rod"/>
        <s v="Jackfruit Products"/>
        <s v="Stainless Steel Items"/>
        <s v="Streaming Platform"/>
        <s v="Portable Glass Attachment"/>
        <s v="All-Kabaddi App"/>
        <s v="Flowers"/>
        <s v="Scholarship Platform"/>
        <s v="Handmade Reusable Scrap Materials"/>
        <s v="Vegetables Storage"/>
        <s v="Ayurvedic Wellness App"/>
        <s v="Smart Locks"/>
        <s v="Proposal Solutions"/>
        <s v="Technology layered Advertisement Services"/>
        <s v="Rewards App"/>
        <s v="Portable opthalmic devices"/>
        <s v="Insoles"/>
        <s v="Vegan Fermented Food"/>
        <s v="Sportswear"/>
        <s v="VR"/>
        <s v="Bacon Jams"/>
        <s v="Reversible and convertible clothing"/>
        <s v="Plant-Based Protein"/>
        <s v="Fastest Cooking Device"/>
        <s v="Lemonade"/>
        <s v="Washroom Finder"/>
        <s v="Carenting for Elders"/>
      </sharedItems>
    </cacheField>
    <cacheField name="Investment" numFmtId="0">
      <sharedItems containsSemiMixedTypes="0" containsString="0" containsNumber="1" containsInteger="1" minValue="0" maxValue="80"/>
    </cacheField>
    <cacheField name="Debt (In lakhs INR)" numFmtId="0">
      <sharedItems containsSemiMixedTypes="0" containsString="0" containsNumber="1" containsInteger="1" minValue="0" maxValue="99"/>
    </cacheField>
    <cacheField name="Equity" numFmtId="0">
      <sharedItems containsSemiMixedTypes="0" containsString="0" containsNumber="1" minValue="0" maxValue="0.75"/>
    </cacheField>
    <cacheField name="Anupam" numFmtId="0">
      <sharedItems count="2">
        <s v="N"/>
        <s v="Y"/>
      </sharedItems>
    </cacheField>
    <cacheField name="Ashneer" numFmtId="0">
      <sharedItems count="2">
        <s v="Y"/>
        <s v="N"/>
      </sharedItems>
    </cacheField>
    <cacheField name="Namita" numFmtId="0">
      <sharedItems count="2">
        <s v="N"/>
        <s v="Y"/>
      </sharedItems>
    </cacheField>
    <cacheField name="Aman" numFmtId="0">
      <sharedItems count="2">
        <s v="Y"/>
        <s v="N"/>
      </sharedItems>
    </cacheField>
    <cacheField name="Vineeta" numFmtId="0">
      <sharedItems count="2">
        <s v="Y"/>
        <s v="N"/>
      </sharedItems>
    </cacheField>
    <cacheField name="Season" numFmtId="0">
      <sharedItems containsSemiMixedTypes="0" containsString="0" containsNumber="1" containsInteger="1" minValue="1" maxValue="1"/>
    </cacheField>
    <cacheField name="Deal" numFmtId="0">
      <sharedItems count="1"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1"/>
    <x v="0"/>
    <s v="BluePine Industries"/>
    <x v="0"/>
    <x v="0"/>
    <n v="0"/>
    <n v="0.18"/>
    <x v="0"/>
    <x v="0"/>
    <x v="0"/>
    <x v="0"/>
    <x v="0"/>
    <n v="1"/>
  </r>
  <r>
    <n v="1"/>
    <x v="1"/>
    <s v="Booz scooters"/>
    <x v="1"/>
    <x v="1"/>
    <n v="0"/>
    <n v="0.5"/>
    <x v="0"/>
    <x v="0"/>
    <x v="0"/>
    <x v="1"/>
    <x v="0"/>
    <n v="1"/>
  </r>
  <r>
    <n v="1"/>
    <x v="2"/>
    <s v="Heart up my Sleeves"/>
    <x v="2"/>
    <x v="2"/>
    <n v="0"/>
    <n v="0.3"/>
    <x v="1"/>
    <x v="1"/>
    <x v="0"/>
    <x v="1"/>
    <x v="0"/>
    <n v="1"/>
  </r>
  <r>
    <n v="2"/>
    <x v="3"/>
    <s v="Tagz Foods"/>
    <x v="3"/>
    <x v="3"/>
    <n v="0"/>
    <n v="2.75E-2"/>
    <x v="0"/>
    <x v="0"/>
    <x v="0"/>
    <x v="1"/>
    <x v="1"/>
    <n v="1"/>
  </r>
  <r>
    <n v="2"/>
    <x v="4"/>
    <s v="Head and Heart"/>
    <x v="4"/>
    <x v="4"/>
    <n v="0"/>
    <n v="0"/>
    <x v="0"/>
    <x v="1"/>
    <x v="0"/>
    <x v="1"/>
    <x v="1"/>
    <n v="1"/>
  </r>
  <r>
    <n v="2"/>
    <x v="5"/>
    <s v="Agro tourism"/>
    <x v="5"/>
    <x v="4"/>
    <n v="0"/>
    <n v="0"/>
    <x v="0"/>
    <x v="1"/>
    <x v="0"/>
    <x v="1"/>
    <x v="1"/>
    <n v="1"/>
  </r>
  <r>
    <n v="3"/>
    <x v="6"/>
    <s v="Qzense Labs"/>
    <x v="6"/>
    <x v="4"/>
    <n v="0"/>
    <n v="0"/>
    <x v="0"/>
    <x v="1"/>
    <x v="0"/>
    <x v="1"/>
    <x v="1"/>
    <n v="1"/>
  </r>
  <r>
    <n v="3"/>
    <x v="7"/>
    <s v="Peeschute"/>
    <x v="7"/>
    <x v="0"/>
    <n v="0"/>
    <n v="0.06"/>
    <x v="0"/>
    <x v="1"/>
    <x v="0"/>
    <x v="0"/>
    <x v="1"/>
    <n v="1"/>
  </r>
  <r>
    <n v="3"/>
    <x v="8"/>
    <s v="NOCD"/>
    <x v="8"/>
    <x v="5"/>
    <n v="30"/>
    <n v="0.15"/>
    <x v="0"/>
    <x v="1"/>
    <x v="0"/>
    <x v="1"/>
    <x v="0"/>
    <n v="1"/>
  </r>
  <r>
    <n v="4"/>
    <x v="9"/>
    <s v="Cosiq"/>
    <x v="9"/>
    <x v="6"/>
    <n v="0"/>
    <n v="0.25"/>
    <x v="1"/>
    <x v="1"/>
    <x v="0"/>
    <x v="1"/>
    <x v="0"/>
    <n v="1"/>
  </r>
  <r>
    <n v="4"/>
    <x v="10"/>
    <s v="JhaJi Achaar"/>
    <x v="10"/>
    <x v="4"/>
    <n v="0"/>
    <n v="0"/>
    <x v="0"/>
    <x v="1"/>
    <x v="0"/>
    <x v="1"/>
    <x v="1"/>
    <n v="1"/>
  </r>
  <r>
    <n v="4"/>
    <x v="11"/>
    <s v="Bummer"/>
    <x v="11"/>
    <x v="0"/>
    <n v="0"/>
    <n v="7.4999999999999997E-2"/>
    <x v="0"/>
    <x v="1"/>
    <x v="1"/>
    <x v="0"/>
    <x v="1"/>
    <n v="1"/>
  </r>
  <r>
    <n v="5"/>
    <x v="12"/>
    <s v="Revamp Moto"/>
    <x v="12"/>
    <x v="7"/>
    <n v="0"/>
    <n v="1.4999999999999999E-2"/>
    <x v="1"/>
    <x v="1"/>
    <x v="0"/>
    <x v="0"/>
    <x v="1"/>
    <n v="1"/>
  </r>
  <r>
    <n v="5"/>
    <x v="13"/>
    <s v="Hungry Heads"/>
    <x v="13"/>
    <x v="4"/>
    <n v="0"/>
    <n v="0"/>
    <x v="0"/>
    <x v="1"/>
    <x v="0"/>
    <x v="1"/>
    <x v="1"/>
    <n v="1"/>
  </r>
  <r>
    <n v="5"/>
    <x v="14"/>
    <s v="Shrawani Engineers"/>
    <x v="14"/>
    <x v="4"/>
    <n v="0"/>
    <n v="0"/>
    <x v="0"/>
    <x v="1"/>
    <x v="0"/>
    <x v="1"/>
    <x v="1"/>
    <n v="1"/>
  </r>
  <r>
    <n v="6"/>
    <x v="15"/>
    <s v="Skippi Pops"/>
    <x v="15"/>
    <x v="7"/>
    <n v="0"/>
    <n v="0.15"/>
    <x v="1"/>
    <x v="0"/>
    <x v="1"/>
    <x v="0"/>
    <x v="0"/>
    <n v="1"/>
  </r>
  <r>
    <n v="6"/>
    <x v="16"/>
    <s v="Menstrupedia"/>
    <x v="16"/>
    <x v="6"/>
    <n v="0"/>
    <n v="0.2"/>
    <x v="0"/>
    <x v="1"/>
    <x v="1"/>
    <x v="1"/>
    <x v="1"/>
    <n v="1"/>
  </r>
  <r>
    <n v="6"/>
    <x v="17"/>
    <s v="Hecolll"/>
    <x v="17"/>
    <x v="4"/>
    <n v="0"/>
    <n v="0"/>
    <x v="0"/>
    <x v="1"/>
    <x v="0"/>
    <x v="1"/>
    <x v="1"/>
    <n v="1"/>
  </r>
  <r>
    <n v="7"/>
    <x v="18"/>
    <s v="Raising Superstars"/>
    <x v="18"/>
    <x v="7"/>
    <n v="0"/>
    <n v="0.04"/>
    <x v="0"/>
    <x v="0"/>
    <x v="0"/>
    <x v="0"/>
    <x v="1"/>
    <n v="1"/>
  </r>
  <r>
    <n v="7"/>
    <x v="19"/>
    <s v="Torch-it"/>
    <x v="19"/>
    <x v="4"/>
    <n v="0"/>
    <n v="0"/>
    <x v="0"/>
    <x v="1"/>
    <x v="0"/>
    <x v="1"/>
    <x v="1"/>
    <n v="1"/>
  </r>
  <r>
    <n v="7"/>
    <x v="20"/>
    <s v="La Kheer Deli"/>
    <x v="20"/>
    <x v="4"/>
    <n v="0"/>
    <n v="0"/>
    <x v="0"/>
    <x v="1"/>
    <x v="0"/>
    <x v="1"/>
    <x v="1"/>
    <n v="1"/>
  </r>
  <r>
    <n v="8"/>
    <x v="21"/>
    <s v="Beyond Snack"/>
    <x v="21"/>
    <x v="6"/>
    <n v="0"/>
    <n v="2.5000000000000001E-2"/>
    <x v="0"/>
    <x v="0"/>
    <x v="0"/>
    <x v="0"/>
    <x v="1"/>
    <n v="1"/>
  </r>
  <r>
    <n v="8"/>
    <x v="22"/>
    <s v="Vivalyf Innovations- Easy Life"/>
    <x v="22"/>
    <x v="8"/>
    <n v="0"/>
    <n v="0.33300000000000002"/>
    <x v="1"/>
    <x v="1"/>
    <x v="0"/>
    <x v="1"/>
    <x v="1"/>
    <n v="1"/>
  </r>
  <r>
    <n v="8"/>
    <x v="23"/>
    <s v="Motion Breeze"/>
    <x v="23"/>
    <x v="9"/>
    <n v="0"/>
    <n v="0.06"/>
    <x v="0"/>
    <x v="0"/>
    <x v="0"/>
    <x v="1"/>
    <x v="1"/>
    <n v="1"/>
  </r>
  <r>
    <n v="9"/>
    <x v="24"/>
    <s v="Altor"/>
    <x v="24"/>
    <x v="6"/>
    <n v="0"/>
    <n v="7.0000000000000007E-2"/>
    <x v="0"/>
    <x v="1"/>
    <x v="1"/>
    <x v="0"/>
    <x v="1"/>
    <n v="1"/>
  </r>
  <r>
    <n v="9"/>
    <x v="25"/>
    <s v="Ariro"/>
    <x v="25"/>
    <x v="6"/>
    <n v="0"/>
    <n v="0.1"/>
    <x v="0"/>
    <x v="1"/>
    <x v="0"/>
    <x v="0"/>
    <x v="1"/>
    <n v="1"/>
  </r>
  <r>
    <n v="9"/>
    <x v="26"/>
    <s v="Kabira Handmade"/>
    <x v="26"/>
    <x v="4"/>
    <n v="0"/>
    <n v="0"/>
    <x v="0"/>
    <x v="1"/>
    <x v="0"/>
    <x v="1"/>
    <x v="1"/>
    <n v="1"/>
  </r>
  <r>
    <n v="10"/>
    <x v="27"/>
    <s v="Nuutjob"/>
    <x v="27"/>
    <x v="2"/>
    <n v="0"/>
    <n v="0.2"/>
    <x v="0"/>
    <x v="1"/>
    <x v="1"/>
    <x v="0"/>
    <x v="1"/>
    <n v="1"/>
  </r>
  <r>
    <n v="10"/>
    <x v="28"/>
    <s v="Meatyour"/>
    <x v="28"/>
    <x v="9"/>
    <n v="0"/>
    <n v="0.2"/>
    <x v="1"/>
    <x v="1"/>
    <x v="0"/>
    <x v="0"/>
    <x v="1"/>
    <n v="1"/>
  </r>
  <r>
    <n v="10"/>
    <x v="29"/>
    <s v="EventBeep"/>
    <x v="29"/>
    <x v="9"/>
    <n v="0"/>
    <n v="0.03"/>
    <x v="0"/>
    <x v="0"/>
    <x v="0"/>
    <x v="0"/>
    <x v="1"/>
    <n v="1"/>
  </r>
  <r>
    <n v="11"/>
    <x v="30"/>
    <s v="Gopal's 56"/>
    <x v="30"/>
    <x v="4"/>
    <n v="0"/>
    <n v="0"/>
    <x v="0"/>
    <x v="1"/>
    <x v="0"/>
    <x v="1"/>
    <x v="1"/>
    <n v="1"/>
  </r>
  <r>
    <n v="11"/>
    <x v="31"/>
    <s v="ARRCOAT Surface Textures"/>
    <x v="31"/>
    <x v="6"/>
    <n v="0"/>
    <n v="0.15"/>
    <x v="1"/>
    <x v="1"/>
    <x v="0"/>
    <x v="1"/>
    <x v="1"/>
    <n v="1"/>
  </r>
  <r>
    <n v="11"/>
    <x v="32"/>
    <s v="Farda"/>
    <x v="32"/>
    <x v="9"/>
    <n v="0"/>
    <n v="0.2"/>
    <x v="0"/>
    <x v="1"/>
    <x v="1"/>
    <x v="0"/>
    <x v="1"/>
    <n v="1"/>
  </r>
  <r>
    <n v="12"/>
    <x v="33"/>
    <s v="Auli Lifestyle"/>
    <x v="33"/>
    <x v="0"/>
    <n v="0"/>
    <n v="0.05"/>
    <x v="0"/>
    <x v="1"/>
    <x v="1"/>
    <x v="1"/>
    <x v="1"/>
    <n v="1"/>
  </r>
  <r>
    <n v="12"/>
    <x v="34"/>
    <s v="SweeDesi"/>
    <x v="34"/>
    <x v="4"/>
    <n v="0"/>
    <n v="0"/>
    <x v="0"/>
    <x v="1"/>
    <x v="0"/>
    <x v="1"/>
    <x v="1"/>
    <n v="1"/>
  </r>
  <r>
    <n v="12"/>
    <x v="35"/>
    <s v="LOKA"/>
    <x v="35"/>
    <x v="1"/>
    <n v="0"/>
    <n v="0.24"/>
    <x v="1"/>
    <x v="1"/>
    <x v="0"/>
    <x v="0"/>
    <x v="1"/>
    <n v="1"/>
  </r>
  <r>
    <n v="13"/>
    <x v="36"/>
    <s v="Annie"/>
    <x v="36"/>
    <x v="7"/>
    <n v="0"/>
    <n v="0.03"/>
    <x v="1"/>
    <x v="1"/>
    <x v="1"/>
    <x v="1"/>
    <x v="1"/>
    <n v="1"/>
  </r>
  <r>
    <n v="13"/>
    <x v="37"/>
    <s v="Caragreen"/>
    <x v="37"/>
    <x v="6"/>
    <n v="0"/>
    <n v="0.2"/>
    <x v="1"/>
    <x v="1"/>
    <x v="0"/>
    <x v="1"/>
    <x v="1"/>
    <n v="1"/>
  </r>
  <r>
    <n v="13"/>
    <x v="38"/>
    <s v="The Yarn Bazaar"/>
    <x v="38"/>
    <x v="7"/>
    <n v="0"/>
    <n v="0.1"/>
    <x v="1"/>
    <x v="0"/>
    <x v="0"/>
    <x v="0"/>
    <x v="1"/>
    <n v="1"/>
  </r>
  <r>
    <n v="14"/>
    <x v="39"/>
    <s v="The Renal Project"/>
    <x v="39"/>
    <x v="7"/>
    <n v="0"/>
    <n v="0.06"/>
    <x v="0"/>
    <x v="1"/>
    <x v="1"/>
    <x v="0"/>
    <x v="1"/>
    <n v="1"/>
  </r>
  <r>
    <n v="14"/>
    <x v="40"/>
    <s v="Morikko Pure Foods"/>
    <x v="40"/>
    <x v="4"/>
    <n v="0"/>
    <n v="0"/>
    <x v="0"/>
    <x v="1"/>
    <x v="0"/>
    <x v="1"/>
    <x v="1"/>
    <n v="1"/>
  </r>
  <r>
    <n v="14"/>
    <x v="41"/>
    <s v="Good Good Piggy Bank"/>
    <x v="41"/>
    <x v="4"/>
    <n v="0"/>
    <n v="0"/>
    <x v="0"/>
    <x v="1"/>
    <x v="0"/>
    <x v="1"/>
    <x v="1"/>
    <n v="1"/>
  </r>
  <r>
    <n v="15"/>
    <x v="42"/>
    <s v="Hammer Lifestyle"/>
    <x v="42"/>
    <x v="7"/>
    <n v="0"/>
    <n v="0.4"/>
    <x v="0"/>
    <x v="1"/>
    <x v="0"/>
    <x v="0"/>
    <x v="1"/>
    <n v="1"/>
  </r>
  <r>
    <n v="15"/>
    <x v="43"/>
    <s v="PNT"/>
    <x v="43"/>
    <x v="2"/>
    <n v="25"/>
    <n v="0.25"/>
    <x v="0"/>
    <x v="1"/>
    <x v="0"/>
    <x v="1"/>
    <x v="1"/>
    <n v="1"/>
  </r>
  <r>
    <n v="15"/>
    <x v="44"/>
    <s v="Cocofit"/>
    <x v="44"/>
    <x v="10"/>
    <n v="0"/>
    <n v="0.05"/>
    <x v="1"/>
    <x v="1"/>
    <x v="1"/>
    <x v="0"/>
    <x v="1"/>
    <n v="1"/>
  </r>
  <r>
    <n v="16"/>
    <x v="45"/>
    <s v="Bamboo India"/>
    <x v="45"/>
    <x v="6"/>
    <n v="30"/>
    <n v="3.5000000000000003E-2"/>
    <x v="1"/>
    <x v="0"/>
    <x v="0"/>
    <x v="1"/>
    <x v="1"/>
    <n v="1"/>
  </r>
  <r>
    <n v="16"/>
    <x v="46"/>
    <s v="Flying Furr"/>
    <x v="46"/>
    <x v="4"/>
    <n v="0"/>
    <n v="0"/>
    <x v="0"/>
    <x v="1"/>
    <x v="0"/>
    <x v="1"/>
    <x v="1"/>
    <n v="1"/>
  </r>
  <r>
    <n v="16"/>
    <x v="47"/>
    <s v="Beyond Water"/>
    <x v="47"/>
    <x v="0"/>
    <n v="0"/>
    <n v="0.15"/>
    <x v="0"/>
    <x v="1"/>
    <x v="1"/>
    <x v="0"/>
    <x v="1"/>
    <n v="1"/>
  </r>
  <r>
    <n v="16"/>
    <x v="48"/>
    <s v="Let's Try"/>
    <x v="48"/>
    <x v="11"/>
    <n v="0"/>
    <n v="0.12"/>
    <x v="1"/>
    <x v="1"/>
    <x v="0"/>
    <x v="0"/>
    <x v="1"/>
    <n v="1"/>
  </r>
  <r>
    <n v="17"/>
    <x v="49"/>
    <s v="Find Your Kicks India"/>
    <x v="49"/>
    <x v="6"/>
    <n v="0"/>
    <n v="0.25"/>
    <x v="1"/>
    <x v="0"/>
    <x v="1"/>
    <x v="0"/>
    <x v="1"/>
    <n v="1"/>
  </r>
  <r>
    <n v="17"/>
    <x v="50"/>
    <s v="Aas Vidyalaya"/>
    <x v="50"/>
    <x v="12"/>
    <n v="0"/>
    <n v="0.15"/>
    <x v="0"/>
    <x v="0"/>
    <x v="1"/>
    <x v="1"/>
    <x v="1"/>
    <n v="1"/>
  </r>
  <r>
    <n v="17"/>
    <x v="51"/>
    <s v="Outbox"/>
    <x v="51"/>
    <x v="4"/>
    <n v="0"/>
    <n v="0"/>
    <x v="0"/>
    <x v="1"/>
    <x v="0"/>
    <x v="1"/>
    <x v="1"/>
    <n v="1"/>
  </r>
  <r>
    <n v="17"/>
    <x v="52"/>
    <s v="RoadBounce"/>
    <x v="52"/>
    <x v="13"/>
    <n v="0"/>
    <n v="0.2"/>
    <x v="0"/>
    <x v="1"/>
    <x v="0"/>
    <x v="1"/>
    <x v="1"/>
    <n v="1"/>
  </r>
  <r>
    <n v="18"/>
    <x v="53"/>
    <s v="Mommy's Kitchen"/>
    <x v="53"/>
    <x v="4"/>
    <n v="0"/>
    <n v="0"/>
    <x v="0"/>
    <x v="1"/>
    <x v="0"/>
    <x v="1"/>
    <x v="1"/>
    <n v="1"/>
  </r>
  <r>
    <n v="18"/>
    <x v="54"/>
    <s v="India Hemp and Co"/>
    <x v="54"/>
    <x v="4"/>
    <n v="0"/>
    <n v="0"/>
    <x v="0"/>
    <x v="1"/>
    <x v="0"/>
    <x v="1"/>
    <x v="1"/>
    <n v="1"/>
  </r>
  <r>
    <n v="18"/>
    <x v="55"/>
    <s v="Otua"/>
    <x v="55"/>
    <x v="14"/>
    <n v="99"/>
    <n v="0.01"/>
    <x v="0"/>
    <x v="0"/>
    <x v="0"/>
    <x v="1"/>
    <x v="1"/>
    <n v="1"/>
  </r>
  <r>
    <n v="18"/>
    <x v="56"/>
    <s v="Anthyesti"/>
    <x v="56"/>
    <x v="4"/>
    <n v="0"/>
    <n v="0"/>
    <x v="0"/>
    <x v="1"/>
    <x v="0"/>
    <x v="1"/>
    <x v="1"/>
    <n v="1"/>
  </r>
  <r>
    <n v="19"/>
    <x v="57"/>
    <s v="Ethik"/>
    <x v="57"/>
    <x v="4"/>
    <n v="0"/>
    <n v="0"/>
    <x v="0"/>
    <x v="1"/>
    <x v="0"/>
    <x v="1"/>
    <x v="1"/>
    <n v="1"/>
  </r>
  <r>
    <n v="19"/>
    <x v="58"/>
    <s v="WeSTOCK"/>
    <x v="58"/>
    <x v="15"/>
    <n v="0"/>
    <n v="0.1"/>
    <x v="0"/>
    <x v="0"/>
    <x v="1"/>
    <x v="0"/>
    <x v="1"/>
    <n v="1"/>
  </r>
  <r>
    <n v="19"/>
    <x v="59"/>
    <s v="KetoIndia"/>
    <x v="59"/>
    <x v="4"/>
    <n v="0"/>
    <n v="0"/>
    <x v="0"/>
    <x v="1"/>
    <x v="0"/>
    <x v="1"/>
    <x v="1"/>
    <n v="1"/>
  </r>
  <r>
    <n v="19"/>
    <x v="60"/>
    <s v="Magic lock"/>
    <x v="60"/>
    <x v="4"/>
    <n v="0"/>
    <n v="0"/>
    <x v="0"/>
    <x v="1"/>
    <x v="0"/>
    <x v="1"/>
    <x v="1"/>
    <n v="1"/>
  </r>
  <r>
    <n v="20"/>
    <x v="61"/>
    <s v="The State Plate"/>
    <x v="61"/>
    <x v="1"/>
    <n v="25"/>
    <n v="0.03"/>
    <x v="0"/>
    <x v="1"/>
    <x v="0"/>
    <x v="1"/>
    <x v="1"/>
    <n v="1"/>
  </r>
  <r>
    <n v="20"/>
    <x v="62"/>
    <s v="Bakarmax"/>
    <x v="62"/>
    <x v="4"/>
    <n v="0"/>
    <n v="0"/>
    <x v="0"/>
    <x v="1"/>
    <x v="0"/>
    <x v="1"/>
    <x v="1"/>
    <n v="1"/>
  </r>
  <r>
    <n v="20"/>
    <x v="63"/>
    <s v="IN A CAN"/>
    <x v="63"/>
    <x v="7"/>
    <n v="0"/>
    <n v="0.1"/>
    <x v="1"/>
    <x v="0"/>
    <x v="1"/>
    <x v="0"/>
    <x v="1"/>
    <n v="1"/>
  </r>
  <r>
    <n v="21"/>
    <x v="64"/>
    <s v="Get a Whey"/>
    <x v="64"/>
    <x v="7"/>
    <n v="0"/>
    <n v="0.15"/>
    <x v="0"/>
    <x v="0"/>
    <x v="0"/>
    <x v="0"/>
    <x v="0"/>
    <n v="1"/>
  </r>
  <r>
    <n v="21"/>
    <x v="65"/>
    <s v="Sid07 Designs"/>
    <x v="65"/>
    <x v="2"/>
    <n v="22"/>
    <n v="0.75"/>
    <x v="0"/>
    <x v="1"/>
    <x v="0"/>
    <x v="1"/>
    <x v="1"/>
    <n v="1"/>
  </r>
  <r>
    <n v="21"/>
    <x v="66"/>
    <s v="The Quirky Nari"/>
    <x v="66"/>
    <x v="16"/>
    <n v="0"/>
    <n v="0.24"/>
    <x v="1"/>
    <x v="1"/>
    <x v="0"/>
    <x v="1"/>
    <x v="0"/>
    <n v="1"/>
  </r>
  <r>
    <n v="22"/>
    <x v="67"/>
    <s v="Hair Originals"/>
    <x v="67"/>
    <x v="15"/>
    <n v="0"/>
    <n v="0.04"/>
    <x v="1"/>
    <x v="0"/>
    <x v="0"/>
    <x v="1"/>
    <x v="1"/>
    <n v="1"/>
  </r>
  <r>
    <n v="22"/>
    <x v="68"/>
    <s v="Poo de Cologne"/>
    <x v="68"/>
    <x v="4"/>
    <n v="0"/>
    <n v="0"/>
    <x v="0"/>
    <x v="1"/>
    <x v="0"/>
    <x v="1"/>
    <x v="1"/>
    <n v="1"/>
  </r>
  <r>
    <n v="22"/>
    <x v="69"/>
    <s v="Moonshine Meads"/>
    <x v="69"/>
    <x v="4"/>
    <n v="0"/>
    <n v="0"/>
    <x v="0"/>
    <x v="1"/>
    <x v="0"/>
    <x v="1"/>
    <x v="1"/>
    <n v="1"/>
  </r>
  <r>
    <n v="22"/>
    <x v="70"/>
    <s v="Falhari"/>
    <x v="70"/>
    <x v="4"/>
    <n v="0"/>
    <n v="0"/>
    <x v="0"/>
    <x v="1"/>
    <x v="0"/>
    <x v="1"/>
    <x v="1"/>
    <n v="1"/>
  </r>
  <r>
    <n v="23"/>
    <x v="71"/>
    <s v="Namhya Foods"/>
    <x v="71"/>
    <x v="6"/>
    <n v="50"/>
    <n v="0.1"/>
    <x v="0"/>
    <x v="1"/>
    <x v="0"/>
    <x v="0"/>
    <x v="1"/>
    <n v="1"/>
  </r>
  <r>
    <n v="23"/>
    <x v="72"/>
    <s v="Urban Monkey"/>
    <x v="72"/>
    <x v="4"/>
    <n v="0"/>
    <n v="0"/>
    <x v="0"/>
    <x v="1"/>
    <x v="0"/>
    <x v="1"/>
    <x v="1"/>
    <n v="1"/>
  </r>
  <r>
    <n v="23"/>
    <x v="73"/>
    <s v="Guardian Gears"/>
    <x v="73"/>
    <x v="4"/>
    <n v="0"/>
    <n v="0"/>
    <x v="0"/>
    <x v="1"/>
    <x v="0"/>
    <x v="1"/>
    <x v="1"/>
    <n v="1"/>
  </r>
  <r>
    <n v="23"/>
    <x v="74"/>
    <s v="Modern Myth"/>
    <x v="74"/>
    <x v="4"/>
    <n v="0"/>
    <n v="0"/>
    <x v="0"/>
    <x v="1"/>
    <x v="0"/>
    <x v="1"/>
    <x v="1"/>
    <n v="1"/>
  </r>
  <r>
    <n v="24"/>
    <x v="75"/>
    <s v="The Sass Bar"/>
    <x v="75"/>
    <x v="6"/>
    <n v="0"/>
    <n v="0.35"/>
    <x v="1"/>
    <x v="1"/>
    <x v="0"/>
    <x v="1"/>
    <x v="1"/>
    <n v="1"/>
  </r>
  <r>
    <n v="24"/>
    <x v="76"/>
    <s v="KG Agrotech"/>
    <x v="76"/>
    <x v="7"/>
    <n v="20"/>
    <n v="0.4"/>
    <x v="0"/>
    <x v="1"/>
    <x v="0"/>
    <x v="1"/>
    <x v="1"/>
    <n v="1"/>
  </r>
  <r>
    <n v="24"/>
    <x v="77"/>
    <s v="Nuskha Kitchen"/>
    <x v="77"/>
    <x v="4"/>
    <n v="0"/>
    <n v="0"/>
    <x v="0"/>
    <x v="1"/>
    <x v="0"/>
    <x v="1"/>
    <x v="1"/>
    <n v="1"/>
  </r>
  <r>
    <n v="25"/>
    <x v="78"/>
    <s v="PawsIndia"/>
    <x v="78"/>
    <x v="6"/>
    <n v="0"/>
    <n v="0.15"/>
    <x v="1"/>
    <x v="1"/>
    <x v="0"/>
    <x v="1"/>
    <x v="1"/>
    <n v="1"/>
  </r>
  <r>
    <n v="25"/>
    <x v="79"/>
    <s v="Sunfox Technologies"/>
    <x v="79"/>
    <x v="7"/>
    <n v="0"/>
    <n v="0.06"/>
    <x v="1"/>
    <x v="1"/>
    <x v="1"/>
    <x v="1"/>
    <x v="0"/>
    <n v="1"/>
  </r>
  <r>
    <n v="25"/>
    <x v="80"/>
    <s v="Alpino"/>
    <x v="80"/>
    <x v="4"/>
    <n v="0"/>
    <n v="0"/>
    <x v="0"/>
    <x v="1"/>
    <x v="0"/>
    <x v="1"/>
    <x v="1"/>
    <n v="1"/>
  </r>
  <r>
    <n v="26"/>
    <x v="81"/>
    <s v="Isak Fragrances"/>
    <x v="81"/>
    <x v="6"/>
    <n v="0"/>
    <n v="0.5"/>
    <x v="0"/>
    <x v="1"/>
    <x v="0"/>
    <x v="1"/>
    <x v="1"/>
    <n v="1"/>
  </r>
  <r>
    <n v="26"/>
    <x v="82"/>
    <s v="Julaa Automation"/>
    <x v="82"/>
    <x v="4"/>
    <n v="0"/>
    <n v="0"/>
    <x v="0"/>
    <x v="1"/>
    <x v="0"/>
    <x v="1"/>
    <x v="1"/>
    <n v="1"/>
  </r>
  <r>
    <n v="26"/>
    <x v="83"/>
    <s v="Rare Planet"/>
    <x v="83"/>
    <x v="17"/>
    <n v="0"/>
    <n v="0.3"/>
    <x v="0"/>
    <x v="1"/>
    <x v="1"/>
    <x v="1"/>
    <x v="1"/>
    <n v="1"/>
  </r>
  <r>
    <n v="27"/>
    <x v="84"/>
    <s v="Theka Coffee"/>
    <x v="84"/>
    <x v="4"/>
    <n v="0"/>
    <n v="0"/>
    <x v="0"/>
    <x v="1"/>
    <x v="0"/>
    <x v="1"/>
    <x v="1"/>
    <n v="1"/>
  </r>
  <r>
    <n v="27"/>
    <x v="85"/>
    <s v="Watt Technovations"/>
    <x v="85"/>
    <x v="7"/>
    <n v="0"/>
    <n v="0.04"/>
    <x v="1"/>
    <x v="1"/>
    <x v="1"/>
    <x v="1"/>
    <x v="1"/>
    <n v="1"/>
  </r>
  <r>
    <n v="27"/>
    <x v="86"/>
    <s v="Aliste Technologies"/>
    <x v="86"/>
    <x v="4"/>
    <n v="0"/>
    <n v="0"/>
    <x v="0"/>
    <x v="1"/>
    <x v="0"/>
    <x v="1"/>
    <x v="1"/>
    <n v="1"/>
  </r>
  <r>
    <n v="27"/>
    <x v="87"/>
    <s v="Insurance Samadhan"/>
    <x v="87"/>
    <x v="7"/>
    <n v="0"/>
    <n v="0.04"/>
    <x v="0"/>
    <x v="1"/>
    <x v="0"/>
    <x v="1"/>
    <x v="1"/>
    <n v="1"/>
  </r>
  <r>
    <n v="28"/>
    <x v="88"/>
    <s v="Humpy A2"/>
    <x v="88"/>
    <x v="7"/>
    <n v="0"/>
    <n v="0.15"/>
    <x v="0"/>
    <x v="1"/>
    <x v="0"/>
    <x v="1"/>
    <x v="0"/>
    <n v="1"/>
  </r>
  <r>
    <n v="28"/>
    <x v="89"/>
    <s v="Kunafa World"/>
    <x v="89"/>
    <x v="4"/>
    <n v="0"/>
    <n v="0"/>
    <x v="0"/>
    <x v="1"/>
    <x v="0"/>
    <x v="1"/>
    <x v="1"/>
    <n v="1"/>
  </r>
  <r>
    <n v="28"/>
    <x v="90"/>
    <s v="Gold Safe Solutions Ind."/>
    <x v="90"/>
    <x v="6"/>
    <n v="0"/>
    <n v="0.3"/>
    <x v="0"/>
    <x v="1"/>
    <x v="0"/>
    <x v="1"/>
    <x v="0"/>
    <n v="1"/>
  </r>
  <r>
    <n v="29"/>
    <x v="91"/>
    <s v="Wakao Foods"/>
    <x v="91"/>
    <x v="0"/>
    <n v="0"/>
    <n v="0.21"/>
    <x v="0"/>
    <x v="1"/>
    <x v="1"/>
    <x v="1"/>
    <x v="0"/>
    <n v="1"/>
  </r>
  <r>
    <n v="29"/>
    <x v="92"/>
    <s v="PDD Falcon"/>
    <x v="92"/>
    <x v="4"/>
    <n v="0"/>
    <n v="0"/>
    <x v="0"/>
    <x v="1"/>
    <x v="0"/>
    <x v="1"/>
    <x v="1"/>
    <n v="1"/>
  </r>
  <r>
    <n v="29"/>
    <x v="93"/>
    <s v="PlayBox TV"/>
    <x v="93"/>
    <x v="4"/>
    <n v="0"/>
    <n v="0"/>
    <x v="0"/>
    <x v="1"/>
    <x v="0"/>
    <x v="1"/>
    <x v="1"/>
    <n v="1"/>
  </r>
  <r>
    <n v="30"/>
    <x v="94"/>
    <s v="Sippline Drinking Shields"/>
    <x v="94"/>
    <x v="4"/>
    <n v="0"/>
    <n v="0"/>
    <x v="0"/>
    <x v="1"/>
    <x v="0"/>
    <x v="1"/>
    <x v="1"/>
    <n v="1"/>
  </r>
  <r>
    <n v="30"/>
    <x v="95"/>
    <s v="Kabaddi Adda"/>
    <x v="95"/>
    <x v="13"/>
    <n v="0"/>
    <n v="0.06"/>
    <x v="0"/>
    <x v="1"/>
    <x v="1"/>
    <x v="1"/>
    <x v="0"/>
    <n v="1"/>
  </r>
  <r>
    <n v="30"/>
    <x v="96"/>
    <s v="Shades of Spring"/>
    <x v="96"/>
    <x v="4"/>
    <n v="0"/>
    <n v="0"/>
    <x v="0"/>
    <x v="1"/>
    <x v="0"/>
    <x v="1"/>
    <x v="1"/>
    <n v="1"/>
  </r>
  <r>
    <n v="30"/>
    <x v="97"/>
    <s v="Scholify"/>
    <x v="97"/>
    <x v="4"/>
    <n v="0"/>
    <n v="0"/>
    <x v="0"/>
    <x v="1"/>
    <x v="0"/>
    <x v="1"/>
    <x v="1"/>
    <n v="1"/>
  </r>
  <r>
    <n v="31"/>
    <x v="98"/>
    <s v="Scrapshala"/>
    <x v="98"/>
    <x v="4"/>
    <n v="0"/>
    <n v="0"/>
    <x v="0"/>
    <x v="1"/>
    <x v="0"/>
    <x v="1"/>
    <x v="1"/>
    <n v="1"/>
  </r>
  <r>
    <n v="31"/>
    <x v="99"/>
    <s v="Sabjikothi"/>
    <x v="99"/>
    <x v="4"/>
    <n v="0"/>
    <n v="0"/>
    <x v="0"/>
    <x v="1"/>
    <x v="0"/>
    <x v="1"/>
    <x v="1"/>
    <n v="1"/>
  </r>
  <r>
    <n v="31"/>
    <x v="100"/>
    <s v="AyuRythm"/>
    <x v="100"/>
    <x v="0"/>
    <n v="0"/>
    <n v="2.6800000000000001E-2"/>
    <x v="0"/>
    <x v="1"/>
    <x v="0"/>
    <x v="0"/>
    <x v="1"/>
    <n v="1"/>
  </r>
  <r>
    <n v="31"/>
    <x v="101"/>
    <s v="Astrix"/>
    <x v="101"/>
    <x v="4"/>
    <n v="0"/>
    <n v="0"/>
    <x v="0"/>
    <x v="1"/>
    <x v="0"/>
    <x v="1"/>
    <x v="1"/>
    <n v="1"/>
  </r>
  <r>
    <n v="32"/>
    <x v="102"/>
    <s v="Thea and Sid"/>
    <x v="102"/>
    <x v="4"/>
    <n v="0"/>
    <n v="0"/>
    <x v="0"/>
    <x v="1"/>
    <x v="0"/>
    <x v="1"/>
    <x v="1"/>
    <n v="1"/>
  </r>
  <r>
    <n v="32"/>
    <x v="103"/>
    <s v="Experential Etc"/>
    <x v="103"/>
    <x v="4"/>
    <n v="0"/>
    <n v="0"/>
    <x v="0"/>
    <x v="1"/>
    <x v="0"/>
    <x v="1"/>
    <x v="1"/>
    <n v="1"/>
  </r>
  <r>
    <n v="32"/>
    <x v="104"/>
    <s v="GrowFitter"/>
    <x v="104"/>
    <x v="6"/>
    <n v="0"/>
    <n v="0.02"/>
    <x v="0"/>
    <x v="1"/>
    <x v="0"/>
    <x v="0"/>
    <x v="1"/>
    <n v="1"/>
  </r>
  <r>
    <n v="32"/>
    <x v="105"/>
    <s v="Med Tech"/>
    <x v="105"/>
    <x v="4"/>
    <n v="0"/>
    <n v="0"/>
    <x v="0"/>
    <x v="1"/>
    <x v="0"/>
    <x v="1"/>
    <x v="1"/>
    <n v="1"/>
  </r>
  <r>
    <n v="33"/>
    <x v="106"/>
    <s v="Colour Me Mad"/>
    <x v="106"/>
    <x v="1"/>
    <n v="0"/>
    <n v="0.25"/>
    <x v="0"/>
    <x v="1"/>
    <x v="1"/>
    <x v="1"/>
    <x v="1"/>
    <n v="1"/>
  </r>
  <r>
    <n v="33"/>
    <x v="107"/>
    <s v="Mavi's"/>
    <x v="107"/>
    <x v="4"/>
    <n v="0"/>
    <n v="0"/>
    <x v="0"/>
    <x v="1"/>
    <x v="0"/>
    <x v="1"/>
    <x v="1"/>
    <n v="1"/>
  </r>
  <r>
    <n v="33"/>
    <x v="108"/>
    <s v="Tweek Labs"/>
    <x v="108"/>
    <x v="15"/>
    <n v="0"/>
    <n v="0.1"/>
    <x v="1"/>
    <x v="0"/>
    <x v="0"/>
    <x v="1"/>
    <x v="1"/>
    <n v="1"/>
  </r>
  <r>
    <n v="33"/>
    <x v="109"/>
    <s v="Proxgy"/>
    <x v="109"/>
    <x v="7"/>
    <n v="0"/>
    <n v="0.1"/>
    <x v="0"/>
    <x v="0"/>
    <x v="0"/>
    <x v="1"/>
    <x v="1"/>
    <n v="1"/>
  </r>
  <r>
    <n v="34"/>
    <x v="110"/>
    <s v="Nomad Food Project"/>
    <x v="110"/>
    <x v="1"/>
    <n v="0"/>
    <n v="0.2"/>
    <x v="0"/>
    <x v="0"/>
    <x v="1"/>
    <x v="1"/>
    <x v="0"/>
    <n v="1"/>
  </r>
  <r>
    <n v="34"/>
    <x v="111"/>
    <s v="Twee in One"/>
    <x v="111"/>
    <x v="4"/>
    <n v="0"/>
    <n v="0"/>
    <x v="0"/>
    <x v="1"/>
    <x v="0"/>
    <x v="1"/>
    <x v="1"/>
    <n v="1"/>
  </r>
  <r>
    <n v="34"/>
    <x v="112"/>
    <s v="Green Protein"/>
    <x v="112"/>
    <x v="4"/>
    <n v="0"/>
    <n v="0"/>
    <x v="0"/>
    <x v="1"/>
    <x v="0"/>
    <x v="1"/>
    <x v="1"/>
    <n v="1"/>
  </r>
  <r>
    <n v="34"/>
    <x v="113"/>
    <s v="On2Cook"/>
    <x v="113"/>
    <x v="4"/>
    <n v="0"/>
    <n v="0"/>
    <x v="0"/>
    <x v="1"/>
    <x v="0"/>
    <x v="1"/>
    <x v="1"/>
    <n v="1"/>
  </r>
  <r>
    <n v="35"/>
    <x v="114"/>
    <s v="Jain Shikanji"/>
    <x v="114"/>
    <x v="1"/>
    <n v="0"/>
    <n v="0.3"/>
    <x v="1"/>
    <x v="0"/>
    <x v="0"/>
    <x v="0"/>
    <x v="0"/>
    <n v="1"/>
  </r>
  <r>
    <n v="35"/>
    <x v="115"/>
    <s v="Woloo"/>
    <x v="115"/>
    <x v="4"/>
    <n v="0"/>
    <n v="0"/>
    <x v="0"/>
    <x v="1"/>
    <x v="0"/>
    <x v="1"/>
    <x v="1"/>
    <n v="1"/>
  </r>
  <r>
    <n v="35"/>
    <x v="116"/>
    <s v="Elcare India"/>
    <x v="116"/>
    <x v="4"/>
    <n v="0"/>
    <n v="0"/>
    <x v="0"/>
    <x v="1"/>
    <x v="0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">
  <r>
    <n v="1"/>
    <n v="1"/>
    <x v="0"/>
    <x v="0"/>
    <n v="75"/>
    <n v="0"/>
    <n v="0.18"/>
    <x v="0"/>
    <x v="0"/>
    <x v="0"/>
    <x v="0"/>
    <x v="0"/>
    <n v="1"/>
    <x v="0"/>
  </r>
  <r>
    <n v="1"/>
    <n v="2"/>
    <x v="1"/>
    <x v="1"/>
    <n v="40"/>
    <n v="0"/>
    <n v="0.5"/>
    <x v="0"/>
    <x v="0"/>
    <x v="0"/>
    <x v="1"/>
    <x v="0"/>
    <n v="1"/>
    <x v="0"/>
  </r>
  <r>
    <n v="1"/>
    <n v="3"/>
    <x v="2"/>
    <x v="2"/>
    <n v="25"/>
    <n v="0"/>
    <n v="0.3"/>
    <x v="1"/>
    <x v="1"/>
    <x v="0"/>
    <x v="1"/>
    <x v="0"/>
    <n v="1"/>
    <x v="0"/>
  </r>
  <r>
    <n v="2"/>
    <n v="4"/>
    <x v="3"/>
    <x v="3"/>
    <n v="70"/>
    <n v="0"/>
    <n v="2.75E-2"/>
    <x v="0"/>
    <x v="0"/>
    <x v="0"/>
    <x v="1"/>
    <x v="1"/>
    <n v="1"/>
    <x v="0"/>
  </r>
  <r>
    <n v="2"/>
    <n v="5"/>
    <x v="4"/>
    <x v="4"/>
    <n v="0"/>
    <n v="0"/>
    <n v="0"/>
    <x v="0"/>
    <x v="1"/>
    <x v="0"/>
    <x v="1"/>
    <x v="1"/>
    <n v="1"/>
    <x v="0"/>
  </r>
  <r>
    <n v="2"/>
    <n v="6"/>
    <x v="5"/>
    <x v="5"/>
    <n v="0"/>
    <n v="0"/>
    <n v="0"/>
    <x v="0"/>
    <x v="1"/>
    <x v="0"/>
    <x v="1"/>
    <x v="1"/>
    <n v="1"/>
    <x v="0"/>
  </r>
  <r>
    <n v="3"/>
    <n v="7"/>
    <x v="6"/>
    <x v="6"/>
    <n v="0"/>
    <n v="0"/>
    <n v="0"/>
    <x v="0"/>
    <x v="1"/>
    <x v="0"/>
    <x v="1"/>
    <x v="1"/>
    <n v="1"/>
    <x v="0"/>
  </r>
  <r>
    <n v="3"/>
    <n v="8"/>
    <x v="7"/>
    <x v="7"/>
    <n v="75"/>
    <n v="0"/>
    <n v="0.06"/>
    <x v="0"/>
    <x v="1"/>
    <x v="0"/>
    <x v="0"/>
    <x v="1"/>
    <n v="1"/>
    <x v="0"/>
  </r>
  <r>
    <n v="3"/>
    <n v="9"/>
    <x v="8"/>
    <x v="8"/>
    <n v="20"/>
    <n v="30"/>
    <n v="0.15"/>
    <x v="0"/>
    <x v="1"/>
    <x v="0"/>
    <x v="1"/>
    <x v="0"/>
    <n v="1"/>
    <x v="0"/>
  </r>
  <r>
    <n v="4"/>
    <n v="10"/>
    <x v="9"/>
    <x v="9"/>
    <n v="50"/>
    <n v="0"/>
    <n v="0.25"/>
    <x v="1"/>
    <x v="1"/>
    <x v="0"/>
    <x v="1"/>
    <x v="0"/>
    <n v="1"/>
    <x v="0"/>
  </r>
  <r>
    <n v="4"/>
    <n v="11"/>
    <x v="10"/>
    <x v="10"/>
    <n v="0"/>
    <n v="0"/>
    <n v="0"/>
    <x v="0"/>
    <x v="1"/>
    <x v="0"/>
    <x v="1"/>
    <x v="1"/>
    <n v="1"/>
    <x v="0"/>
  </r>
  <r>
    <n v="4"/>
    <n v="12"/>
    <x v="11"/>
    <x v="11"/>
    <n v="75"/>
    <n v="0"/>
    <n v="7.4999999999999997E-2"/>
    <x v="0"/>
    <x v="1"/>
    <x v="1"/>
    <x v="0"/>
    <x v="1"/>
    <n v="1"/>
    <x v="0"/>
  </r>
  <r>
    <n v="5"/>
    <n v="13"/>
    <x v="12"/>
    <x v="12"/>
    <n v="10"/>
    <n v="0"/>
    <n v="1.4999999999999999E-2"/>
    <x v="1"/>
    <x v="1"/>
    <x v="0"/>
    <x v="0"/>
    <x v="1"/>
    <n v="1"/>
    <x v="0"/>
  </r>
  <r>
    <n v="5"/>
    <n v="14"/>
    <x v="13"/>
    <x v="13"/>
    <n v="0"/>
    <n v="0"/>
    <n v="0"/>
    <x v="0"/>
    <x v="1"/>
    <x v="0"/>
    <x v="1"/>
    <x v="1"/>
    <n v="1"/>
    <x v="0"/>
  </r>
  <r>
    <n v="5"/>
    <n v="15"/>
    <x v="14"/>
    <x v="14"/>
    <n v="0"/>
    <n v="0"/>
    <n v="0"/>
    <x v="0"/>
    <x v="1"/>
    <x v="0"/>
    <x v="1"/>
    <x v="1"/>
    <n v="1"/>
    <x v="0"/>
  </r>
  <r>
    <n v="6"/>
    <n v="16"/>
    <x v="15"/>
    <x v="15"/>
    <n v="10"/>
    <n v="0"/>
    <n v="0.15"/>
    <x v="1"/>
    <x v="0"/>
    <x v="1"/>
    <x v="0"/>
    <x v="0"/>
    <n v="1"/>
    <x v="0"/>
  </r>
  <r>
    <n v="6"/>
    <n v="17"/>
    <x v="16"/>
    <x v="16"/>
    <n v="50"/>
    <n v="0"/>
    <n v="0.2"/>
    <x v="0"/>
    <x v="1"/>
    <x v="1"/>
    <x v="1"/>
    <x v="1"/>
    <n v="1"/>
    <x v="0"/>
  </r>
  <r>
    <n v="6"/>
    <n v="18"/>
    <x v="17"/>
    <x v="17"/>
    <n v="0"/>
    <n v="0"/>
    <n v="0"/>
    <x v="0"/>
    <x v="1"/>
    <x v="0"/>
    <x v="1"/>
    <x v="1"/>
    <n v="1"/>
    <x v="0"/>
  </r>
  <r>
    <n v="7"/>
    <n v="19"/>
    <x v="18"/>
    <x v="18"/>
    <n v="10"/>
    <n v="0"/>
    <n v="0.04"/>
    <x v="0"/>
    <x v="0"/>
    <x v="0"/>
    <x v="0"/>
    <x v="1"/>
    <n v="1"/>
    <x v="0"/>
  </r>
  <r>
    <n v="7"/>
    <n v="20"/>
    <x v="19"/>
    <x v="19"/>
    <n v="0"/>
    <n v="0"/>
    <n v="0"/>
    <x v="0"/>
    <x v="1"/>
    <x v="0"/>
    <x v="1"/>
    <x v="1"/>
    <n v="1"/>
    <x v="0"/>
  </r>
  <r>
    <n v="7"/>
    <n v="21"/>
    <x v="20"/>
    <x v="20"/>
    <n v="0"/>
    <n v="0"/>
    <n v="0"/>
    <x v="0"/>
    <x v="1"/>
    <x v="0"/>
    <x v="1"/>
    <x v="1"/>
    <n v="1"/>
    <x v="0"/>
  </r>
  <r>
    <n v="8"/>
    <n v="22"/>
    <x v="21"/>
    <x v="21"/>
    <n v="50"/>
    <n v="0"/>
    <n v="2.5000000000000001E-2"/>
    <x v="0"/>
    <x v="0"/>
    <x v="0"/>
    <x v="0"/>
    <x v="1"/>
    <n v="1"/>
    <x v="0"/>
  </r>
  <r>
    <n v="8"/>
    <n v="23"/>
    <x v="22"/>
    <x v="22"/>
    <n v="56"/>
    <n v="0"/>
    <n v="0.33300000000000002"/>
    <x v="1"/>
    <x v="1"/>
    <x v="0"/>
    <x v="1"/>
    <x v="1"/>
    <n v="1"/>
    <x v="0"/>
  </r>
  <r>
    <n v="8"/>
    <n v="24"/>
    <x v="23"/>
    <x v="23"/>
    <n v="30"/>
    <n v="0"/>
    <n v="0.06"/>
    <x v="0"/>
    <x v="0"/>
    <x v="0"/>
    <x v="1"/>
    <x v="1"/>
    <n v="1"/>
    <x v="0"/>
  </r>
  <r>
    <n v="9"/>
    <n v="25"/>
    <x v="24"/>
    <x v="24"/>
    <n v="50"/>
    <n v="0"/>
    <n v="7.0000000000000007E-2"/>
    <x v="0"/>
    <x v="1"/>
    <x v="1"/>
    <x v="0"/>
    <x v="1"/>
    <n v="1"/>
    <x v="0"/>
  </r>
  <r>
    <n v="9"/>
    <n v="26"/>
    <x v="25"/>
    <x v="25"/>
    <n v="50"/>
    <n v="0"/>
    <n v="0.1"/>
    <x v="0"/>
    <x v="1"/>
    <x v="0"/>
    <x v="0"/>
    <x v="1"/>
    <n v="1"/>
    <x v="0"/>
  </r>
  <r>
    <n v="9"/>
    <n v="27"/>
    <x v="26"/>
    <x v="26"/>
    <n v="0"/>
    <n v="0"/>
    <n v="0"/>
    <x v="0"/>
    <x v="1"/>
    <x v="0"/>
    <x v="1"/>
    <x v="1"/>
    <n v="1"/>
    <x v="0"/>
  </r>
  <r>
    <n v="10"/>
    <n v="28"/>
    <x v="27"/>
    <x v="27"/>
    <n v="25"/>
    <n v="0"/>
    <n v="0.2"/>
    <x v="0"/>
    <x v="1"/>
    <x v="1"/>
    <x v="0"/>
    <x v="1"/>
    <n v="1"/>
    <x v="0"/>
  </r>
  <r>
    <n v="10"/>
    <n v="29"/>
    <x v="28"/>
    <x v="28"/>
    <n v="30"/>
    <n v="0"/>
    <n v="0.2"/>
    <x v="1"/>
    <x v="1"/>
    <x v="0"/>
    <x v="0"/>
    <x v="1"/>
    <n v="1"/>
    <x v="0"/>
  </r>
  <r>
    <n v="10"/>
    <n v="30"/>
    <x v="29"/>
    <x v="29"/>
    <n v="30"/>
    <n v="0"/>
    <n v="0.03"/>
    <x v="0"/>
    <x v="0"/>
    <x v="0"/>
    <x v="0"/>
    <x v="1"/>
    <n v="1"/>
    <x v="0"/>
  </r>
  <r>
    <n v="11"/>
    <n v="31"/>
    <x v="30"/>
    <x v="30"/>
    <n v="0"/>
    <n v="0"/>
    <n v="0"/>
    <x v="0"/>
    <x v="1"/>
    <x v="0"/>
    <x v="1"/>
    <x v="1"/>
    <n v="1"/>
    <x v="0"/>
  </r>
  <r>
    <n v="11"/>
    <n v="32"/>
    <x v="31"/>
    <x v="31"/>
    <n v="50"/>
    <n v="0"/>
    <n v="0.15"/>
    <x v="1"/>
    <x v="1"/>
    <x v="0"/>
    <x v="1"/>
    <x v="1"/>
    <n v="1"/>
    <x v="0"/>
  </r>
  <r>
    <n v="11"/>
    <n v="33"/>
    <x v="32"/>
    <x v="32"/>
    <n v="30"/>
    <n v="0"/>
    <n v="0.2"/>
    <x v="0"/>
    <x v="1"/>
    <x v="1"/>
    <x v="0"/>
    <x v="1"/>
    <n v="1"/>
    <x v="0"/>
  </r>
  <r>
    <n v="12"/>
    <n v="34"/>
    <x v="33"/>
    <x v="33"/>
    <n v="75"/>
    <n v="0"/>
    <n v="0.05"/>
    <x v="0"/>
    <x v="1"/>
    <x v="1"/>
    <x v="1"/>
    <x v="1"/>
    <n v="1"/>
    <x v="0"/>
  </r>
  <r>
    <n v="12"/>
    <n v="35"/>
    <x v="34"/>
    <x v="34"/>
    <n v="0"/>
    <n v="0"/>
    <n v="0"/>
    <x v="0"/>
    <x v="1"/>
    <x v="0"/>
    <x v="1"/>
    <x v="1"/>
    <n v="1"/>
    <x v="0"/>
  </r>
  <r>
    <n v="12"/>
    <n v="36"/>
    <x v="35"/>
    <x v="35"/>
    <n v="40"/>
    <n v="0"/>
    <n v="0.24"/>
    <x v="1"/>
    <x v="1"/>
    <x v="0"/>
    <x v="0"/>
    <x v="1"/>
    <n v="1"/>
    <x v="0"/>
  </r>
  <r>
    <n v="13"/>
    <n v="37"/>
    <x v="36"/>
    <x v="36"/>
    <n v="10"/>
    <n v="0"/>
    <n v="0.03"/>
    <x v="1"/>
    <x v="1"/>
    <x v="1"/>
    <x v="1"/>
    <x v="1"/>
    <n v="1"/>
    <x v="0"/>
  </r>
  <r>
    <n v="13"/>
    <n v="38"/>
    <x v="37"/>
    <x v="37"/>
    <n v="50"/>
    <n v="0"/>
    <n v="0.2"/>
    <x v="1"/>
    <x v="1"/>
    <x v="0"/>
    <x v="1"/>
    <x v="1"/>
    <n v="1"/>
    <x v="0"/>
  </r>
  <r>
    <n v="13"/>
    <n v="39"/>
    <x v="38"/>
    <x v="38"/>
    <n v="10"/>
    <n v="0"/>
    <n v="0.1"/>
    <x v="1"/>
    <x v="0"/>
    <x v="0"/>
    <x v="0"/>
    <x v="1"/>
    <n v="1"/>
    <x v="0"/>
  </r>
  <r>
    <n v="14"/>
    <n v="40"/>
    <x v="39"/>
    <x v="39"/>
    <n v="10"/>
    <n v="0"/>
    <n v="0.06"/>
    <x v="0"/>
    <x v="1"/>
    <x v="1"/>
    <x v="0"/>
    <x v="1"/>
    <n v="1"/>
    <x v="0"/>
  </r>
  <r>
    <n v="14"/>
    <n v="41"/>
    <x v="40"/>
    <x v="40"/>
    <n v="0"/>
    <n v="0"/>
    <n v="0"/>
    <x v="0"/>
    <x v="1"/>
    <x v="0"/>
    <x v="1"/>
    <x v="1"/>
    <n v="1"/>
    <x v="0"/>
  </r>
  <r>
    <n v="14"/>
    <n v="42"/>
    <x v="41"/>
    <x v="41"/>
    <n v="0"/>
    <n v="0"/>
    <n v="0"/>
    <x v="0"/>
    <x v="1"/>
    <x v="0"/>
    <x v="1"/>
    <x v="1"/>
    <n v="1"/>
    <x v="0"/>
  </r>
  <r>
    <n v="15"/>
    <n v="43"/>
    <x v="42"/>
    <x v="42"/>
    <n v="10"/>
    <n v="0"/>
    <n v="0.4"/>
    <x v="0"/>
    <x v="1"/>
    <x v="0"/>
    <x v="0"/>
    <x v="1"/>
    <n v="1"/>
    <x v="0"/>
  </r>
  <r>
    <n v="15"/>
    <n v="44"/>
    <x v="43"/>
    <x v="43"/>
    <n v="25"/>
    <n v="25"/>
    <n v="0.25"/>
    <x v="0"/>
    <x v="1"/>
    <x v="0"/>
    <x v="1"/>
    <x v="1"/>
    <n v="1"/>
    <x v="0"/>
  </r>
  <r>
    <n v="15"/>
    <n v="45"/>
    <x v="44"/>
    <x v="44"/>
    <n v="5"/>
    <n v="0"/>
    <n v="0.05"/>
    <x v="1"/>
    <x v="1"/>
    <x v="1"/>
    <x v="0"/>
    <x v="1"/>
    <n v="1"/>
    <x v="0"/>
  </r>
  <r>
    <n v="16"/>
    <n v="46"/>
    <x v="45"/>
    <x v="45"/>
    <n v="50"/>
    <n v="30"/>
    <n v="3.5000000000000003E-2"/>
    <x v="1"/>
    <x v="0"/>
    <x v="0"/>
    <x v="1"/>
    <x v="1"/>
    <n v="1"/>
    <x v="0"/>
  </r>
  <r>
    <n v="16"/>
    <n v="47"/>
    <x v="46"/>
    <x v="46"/>
    <n v="0"/>
    <n v="0"/>
    <n v="0"/>
    <x v="0"/>
    <x v="1"/>
    <x v="0"/>
    <x v="1"/>
    <x v="1"/>
    <n v="1"/>
    <x v="0"/>
  </r>
  <r>
    <n v="16"/>
    <n v="48"/>
    <x v="47"/>
    <x v="47"/>
    <n v="75"/>
    <n v="0"/>
    <n v="0.15"/>
    <x v="0"/>
    <x v="1"/>
    <x v="1"/>
    <x v="0"/>
    <x v="1"/>
    <n v="1"/>
    <x v="0"/>
  </r>
  <r>
    <n v="16"/>
    <n v="49"/>
    <x v="48"/>
    <x v="48"/>
    <n v="45"/>
    <n v="0"/>
    <n v="0.12"/>
    <x v="1"/>
    <x v="1"/>
    <x v="0"/>
    <x v="0"/>
    <x v="1"/>
    <n v="1"/>
    <x v="0"/>
  </r>
  <r>
    <n v="17"/>
    <n v="50"/>
    <x v="49"/>
    <x v="49"/>
    <n v="50"/>
    <n v="0"/>
    <n v="0.25"/>
    <x v="1"/>
    <x v="0"/>
    <x v="1"/>
    <x v="0"/>
    <x v="1"/>
    <n v="1"/>
    <x v="0"/>
  </r>
  <r>
    <n v="17"/>
    <n v="51"/>
    <x v="50"/>
    <x v="50"/>
    <n v="15"/>
    <n v="0"/>
    <n v="0.15"/>
    <x v="0"/>
    <x v="0"/>
    <x v="1"/>
    <x v="1"/>
    <x v="1"/>
    <n v="1"/>
    <x v="0"/>
  </r>
  <r>
    <n v="17"/>
    <n v="52"/>
    <x v="51"/>
    <x v="51"/>
    <n v="0"/>
    <n v="0"/>
    <n v="0"/>
    <x v="0"/>
    <x v="1"/>
    <x v="0"/>
    <x v="1"/>
    <x v="1"/>
    <n v="1"/>
    <x v="0"/>
  </r>
  <r>
    <n v="17"/>
    <n v="53"/>
    <x v="52"/>
    <x v="52"/>
    <n v="80"/>
    <n v="0"/>
    <n v="0.2"/>
    <x v="0"/>
    <x v="1"/>
    <x v="0"/>
    <x v="1"/>
    <x v="1"/>
    <n v="1"/>
    <x v="0"/>
  </r>
  <r>
    <n v="18"/>
    <n v="54"/>
    <x v="53"/>
    <x v="53"/>
    <n v="0"/>
    <n v="0"/>
    <n v="0"/>
    <x v="0"/>
    <x v="1"/>
    <x v="0"/>
    <x v="1"/>
    <x v="1"/>
    <n v="1"/>
    <x v="0"/>
  </r>
  <r>
    <n v="18"/>
    <n v="55"/>
    <x v="54"/>
    <x v="54"/>
    <n v="0"/>
    <n v="0"/>
    <n v="0"/>
    <x v="0"/>
    <x v="1"/>
    <x v="0"/>
    <x v="1"/>
    <x v="1"/>
    <n v="1"/>
    <x v="0"/>
  </r>
  <r>
    <n v="18"/>
    <n v="56"/>
    <x v="55"/>
    <x v="55"/>
    <n v="1"/>
    <n v="99"/>
    <n v="0.01"/>
    <x v="0"/>
    <x v="0"/>
    <x v="0"/>
    <x v="1"/>
    <x v="1"/>
    <n v="1"/>
    <x v="0"/>
  </r>
  <r>
    <n v="18"/>
    <n v="57"/>
    <x v="56"/>
    <x v="56"/>
    <n v="0"/>
    <n v="0"/>
    <n v="0"/>
    <x v="0"/>
    <x v="1"/>
    <x v="0"/>
    <x v="1"/>
    <x v="1"/>
    <n v="1"/>
    <x v="0"/>
  </r>
  <r>
    <n v="19"/>
    <n v="58"/>
    <x v="57"/>
    <x v="57"/>
    <n v="0"/>
    <n v="0"/>
    <n v="0"/>
    <x v="0"/>
    <x v="1"/>
    <x v="0"/>
    <x v="1"/>
    <x v="1"/>
    <n v="1"/>
    <x v="0"/>
  </r>
  <r>
    <n v="19"/>
    <n v="59"/>
    <x v="58"/>
    <x v="58"/>
    <n v="60"/>
    <n v="0"/>
    <n v="0.1"/>
    <x v="0"/>
    <x v="0"/>
    <x v="1"/>
    <x v="0"/>
    <x v="1"/>
    <n v="1"/>
    <x v="0"/>
  </r>
  <r>
    <n v="19"/>
    <n v="60"/>
    <x v="59"/>
    <x v="59"/>
    <n v="0"/>
    <n v="0"/>
    <n v="0"/>
    <x v="0"/>
    <x v="1"/>
    <x v="0"/>
    <x v="1"/>
    <x v="1"/>
    <n v="1"/>
    <x v="0"/>
  </r>
  <r>
    <n v="19"/>
    <n v="61"/>
    <x v="60"/>
    <x v="60"/>
    <n v="0"/>
    <n v="0"/>
    <n v="0"/>
    <x v="0"/>
    <x v="1"/>
    <x v="0"/>
    <x v="1"/>
    <x v="1"/>
    <n v="1"/>
    <x v="0"/>
  </r>
  <r>
    <n v="20"/>
    <n v="62"/>
    <x v="61"/>
    <x v="61"/>
    <n v="40"/>
    <n v="25"/>
    <n v="0.03"/>
    <x v="0"/>
    <x v="1"/>
    <x v="0"/>
    <x v="1"/>
    <x v="1"/>
    <n v="1"/>
    <x v="0"/>
  </r>
  <r>
    <n v="20"/>
    <n v="63"/>
    <x v="62"/>
    <x v="62"/>
    <n v="0"/>
    <n v="0"/>
    <n v="0"/>
    <x v="0"/>
    <x v="1"/>
    <x v="0"/>
    <x v="1"/>
    <x v="1"/>
    <n v="1"/>
    <x v="0"/>
  </r>
  <r>
    <n v="20"/>
    <n v="64"/>
    <x v="63"/>
    <x v="63"/>
    <n v="10"/>
    <n v="0"/>
    <n v="0.1"/>
    <x v="1"/>
    <x v="0"/>
    <x v="1"/>
    <x v="0"/>
    <x v="1"/>
    <n v="1"/>
    <x v="0"/>
  </r>
  <r>
    <n v="21"/>
    <n v="65"/>
    <x v="64"/>
    <x v="64"/>
    <n v="10"/>
    <n v="0"/>
    <n v="0.15"/>
    <x v="0"/>
    <x v="0"/>
    <x v="0"/>
    <x v="0"/>
    <x v="0"/>
    <n v="1"/>
    <x v="0"/>
  </r>
  <r>
    <n v="21"/>
    <n v="66"/>
    <x v="65"/>
    <x v="65"/>
    <n v="25"/>
    <n v="22"/>
    <n v="0.75"/>
    <x v="0"/>
    <x v="1"/>
    <x v="0"/>
    <x v="1"/>
    <x v="1"/>
    <n v="1"/>
    <x v="0"/>
  </r>
  <r>
    <n v="21"/>
    <n v="67"/>
    <x v="66"/>
    <x v="66"/>
    <n v="35"/>
    <n v="0"/>
    <n v="0.24"/>
    <x v="1"/>
    <x v="1"/>
    <x v="0"/>
    <x v="1"/>
    <x v="0"/>
    <n v="1"/>
    <x v="0"/>
  </r>
  <r>
    <n v="22"/>
    <n v="68"/>
    <x v="67"/>
    <x v="67"/>
    <n v="60"/>
    <n v="0"/>
    <n v="0.04"/>
    <x v="1"/>
    <x v="0"/>
    <x v="0"/>
    <x v="1"/>
    <x v="1"/>
    <n v="1"/>
    <x v="0"/>
  </r>
  <r>
    <n v="22"/>
    <n v="69"/>
    <x v="68"/>
    <x v="68"/>
    <n v="0"/>
    <n v="0"/>
    <n v="0"/>
    <x v="0"/>
    <x v="1"/>
    <x v="0"/>
    <x v="1"/>
    <x v="1"/>
    <n v="1"/>
    <x v="0"/>
  </r>
  <r>
    <n v="22"/>
    <n v="70"/>
    <x v="69"/>
    <x v="69"/>
    <n v="0"/>
    <n v="0"/>
    <n v="0"/>
    <x v="0"/>
    <x v="1"/>
    <x v="0"/>
    <x v="1"/>
    <x v="1"/>
    <n v="1"/>
    <x v="0"/>
  </r>
  <r>
    <n v="22"/>
    <n v="71"/>
    <x v="70"/>
    <x v="70"/>
    <n v="0"/>
    <n v="0"/>
    <n v="0"/>
    <x v="0"/>
    <x v="1"/>
    <x v="0"/>
    <x v="1"/>
    <x v="1"/>
    <n v="1"/>
    <x v="0"/>
  </r>
  <r>
    <n v="23"/>
    <n v="72"/>
    <x v="71"/>
    <x v="71"/>
    <n v="50"/>
    <n v="50"/>
    <n v="0.1"/>
    <x v="0"/>
    <x v="1"/>
    <x v="0"/>
    <x v="0"/>
    <x v="1"/>
    <n v="1"/>
    <x v="0"/>
  </r>
  <r>
    <n v="23"/>
    <n v="73"/>
    <x v="72"/>
    <x v="72"/>
    <n v="0"/>
    <n v="0"/>
    <n v="0"/>
    <x v="0"/>
    <x v="1"/>
    <x v="0"/>
    <x v="1"/>
    <x v="1"/>
    <n v="1"/>
    <x v="0"/>
  </r>
  <r>
    <n v="23"/>
    <n v="74"/>
    <x v="73"/>
    <x v="73"/>
    <n v="0"/>
    <n v="0"/>
    <n v="0"/>
    <x v="0"/>
    <x v="1"/>
    <x v="0"/>
    <x v="1"/>
    <x v="1"/>
    <n v="1"/>
    <x v="0"/>
  </r>
  <r>
    <n v="23"/>
    <n v="75"/>
    <x v="74"/>
    <x v="74"/>
    <n v="0"/>
    <n v="0"/>
    <n v="0"/>
    <x v="0"/>
    <x v="1"/>
    <x v="0"/>
    <x v="1"/>
    <x v="1"/>
    <n v="1"/>
    <x v="0"/>
  </r>
  <r>
    <n v="24"/>
    <n v="76"/>
    <x v="75"/>
    <x v="75"/>
    <n v="50"/>
    <n v="0"/>
    <n v="0.35"/>
    <x v="1"/>
    <x v="1"/>
    <x v="0"/>
    <x v="1"/>
    <x v="1"/>
    <n v="1"/>
    <x v="0"/>
  </r>
  <r>
    <n v="24"/>
    <n v="77"/>
    <x v="76"/>
    <x v="76"/>
    <n v="10"/>
    <n v="20"/>
    <n v="0.4"/>
    <x v="0"/>
    <x v="1"/>
    <x v="0"/>
    <x v="1"/>
    <x v="1"/>
    <n v="1"/>
    <x v="0"/>
  </r>
  <r>
    <n v="24"/>
    <n v="78"/>
    <x v="77"/>
    <x v="77"/>
    <n v="0"/>
    <n v="0"/>
    <n v="0"/>
    <x v="0"/>
    <x v="1"/>
    <x v="0"/>
    <x v="1"/>
    <x v="1"/>
    <n v="1"/>
    <x v="0"/>
  </r>
  <r>
    <n v="25"/>
    <n v="79"/>
    <x v="78"/>
    <x v="78"/>
    <n v="50"/>
    <n v="0"/>
    <n v="0.15"/>
    <x v="1"/>
    <x v="1"/>
    <x v="0"/>
    <x v="1"/>
    <x v="1"/>
    <n v="1"/>
    <x v="0"/>
  </r>
  <r>
    <n v="25"/>
    <n v="80"/>
    <x v="79"/>
    <x v="79"/>
    <n v="10"/>
    <n v="0"/>
    <n v="0.06"/>
    <x v="1"/>
    <x v="1"/>
    <x v="1"/>
    <x v="1"/>
    <x v="0"/>
    <n v="1"/>
    <x v="0"/>
  </r>
  <r>
    <n v="25"/>
    <n v="81"/>
    <x v="80"/>
    <x v="80"/>
    <n v="0"/>
    <n v="0"/>
    <n v="0"/>
    <x v="0"/>
    <x v="1"/>
    <x v="0"/>
    <x v="1"/>
    <x v="1"/>
    <n v="1"/>
    <x v="0"/>
  </r>
  <r>
    <n v="26"/>
    <n v="82"/>
    <x v="81"/>
    <x v="81"/>
    <n v="50"/>
    <n v="0"/>
    <n v="0.5"/>
    <x v="0"/>
    <x v="1"/>
    <x v="0"/>
    <x v="1"/>
    <x v="1"/>
    <n v="1"/>
    <x v="0"/>
  </r>
  <r>
    <n v="26"/>
    <n v="83"/>
    <x v="82"/>
    <x v="82"/>
    <n v="0"/>
    <n v="0"/>
    <n v="0"/>
    <x v="0"/>
    <x v="1"/>
    <x v="0"/>
    <x v="1"/>
    <x v="1"/>
    <n v="1"/>
    <x v="0"/>
  </r>
  <r>
    <n v="26"/>
    <n v="84"/>
    <x v="83"/>
    <x v="83"/>
    <n v="65"/>
    <n v="0"/>
    <n v="0.3"/>
    <x v="0"/>
    <x v="1"/>
    <x v="1"/>
    <x v="1"/>
    <x v="1"/>
    <n v="1"/>
    <x v="0"/>
  </r>
  <r>
    <n v="27"/>
    <n v="85"/>
    <x v="84"/>
    <x v="84"/>
    <n v="0"/>
    <n v="0"/>
    <n v="0"/>
    <x v="0"/>
    <x v="1"/>
    <x v="0"/>
    <x v="1"/>
    <x v="1"/>
    <n v="1"/>
    <x v="0"/>
  </r>
  <r>
    <n v="27"/>
    <n v="86"/>
    <x v="85"/>
    <x v="85"/>
    <n v="10"/>
    <n v="0"/>
    <n v="0.04"/>
    <x v="1"/>
    <x v="1"/>
    <x v="1"/>
    <x v="1"/>
    <x v="1"/>
    <n v="1"/>
    <x v="0"/>
  </r>
  <r>
    <n v="27"/>
    <n v="87"/>
    <x v="86"/>
    <x v="86"/>
    <n v="0"/>
    <n v="0"/>
    <n v="0"/>
    <x v="0"/>
    <x v="1"/>
    <x v="0"/>
    <x v="1"/>
    <x v="1"/>
    <n v="1"/>
    <x v="0"/>
  </r>
  <r>
    <n v="27"/>
    <n v="88"/>
    <x v="87"/>
    <x v="87"/>
    <n v="10"/>
    <n v="0"/>
    <n v="0.04"/>
    <x v="0"/>
    <x v="1"/>
    <x v="0"/>
    <x v="1"/>
    <x v="1"/>
    <n v="1"/>
    <x v="0"/>
  </r>
  <r>
    <n v="28"/>
    <n v="89"/>
    <x v="88"/>
    <x v="88"/>
    <n v="10"/>
    <n v="0"/>
    <n v="0.15"/>
    <x v="0"/>
    <x v="1"/>
    <x v="0"/>
    <x v="1"/>
    <x v="0"/>
    <n v="1"/>
    <x v="0"/>
  </r>
  <r>
    <n v="28"/>
    <n v="90"/>
    <x v="89"/>
    <x v="89"/>
    <n v="0"/>
    <n v="0"/>
    <n v="0"/>
    <x v="0"/>
    <x v="1"/>
    <x v="0"/>
    <x v="1"/>
    <x v="1"/>
    <n v="1"/>
    <x v="0"/>
  </r>
  <r>
    <n v="28"/>
    <n v="91"/>
    <x v="90"/>
    <x v="90"/>
    <n v="50"/>
    <n v="0"/>
    <n v="0.3"/>
    <x v="0"/>
    <x v="1"/>
    <x v="0"/>
    <x v="1"/>
    <x v="0"/>
    <n v="1"/>
    <x v="0"/>
  </r>
  <r>
    <n v="29"/>
    <n v="92"/>
    <x v="91"/>
    <x v="91"/>
    <n v="75"/>
    <n v="0"/>
    <n v="0.21"/>
    <x v="0"/>
    <x v="1"/>
    <x v="1"/>
    <x v="1"/>
    <x v="0"/>
    <n v="1"/>
    <x v="0"/>
  </r>
  <r>
    <n v="29"/>
    <n v="93"/>
    <x v="92"/>
    <x v="92"/>
    <n v="0"/>
    <n v="0"/>
    <n v="0"/>
    <x v="0"/>
    <x v="1"/>
    <x v="0"/>
    <x v="1"/>
    <x v="1"/>
    <n v="1"/>
    <x v="0"/>
  </r>
  <r>
    <n v="29"/>
    <n v="94"/>
    <x v="93"/>
    <x v="93"/>
    <n v="0"/>
    <n v="0"/>
    <n v="0"/>
    <x v="0"/>
    <x v="1"/>
    <x v="0"/>
    <x v="1"/>
    <x v="1"/>
    <n v="1"/>
    <x v="0"/>
  </r>
  <r>
    <n v="30"/>
    <n v="95"/>
    <x v="94"/>
    <x v="94"/>
    <n v="0"/>
    <n v="0"/>
    <n v="0"/>
    <x v="0"/>
    <x v="1"/>
    <x v="0"/>
    <x v="1"/>
    <x v="1"/>
    <n v="1"/>
    <x v="0"/>
  </r>
  <r>
    <n v="30"/>
    <n v="96"/>
    <x v="95"/>
    <x v="95"/>
    <n v="80"/>
    <n v="0"/>
    <n v="0.06"/>
    <x v="0"/>
    <x v="1"/>
    <x v="1"/>
    <x v="1"/>
    <x v="0"/>
    <n v="1"/>
    <x v="0"/>
  </r>
  <r>
    <n v="30"/>
    <n v="97"/>
    <x v="96"/>
    <x v="96"/>
    <n v="0"/>
    <n v="0"/>
    <n v="0"/>
    <x v="0"/>
    <x v="1"/>
    <x v="0"/>
    <x v="1"/>
    <x v="1"/>
    <n v="1"/>
    <x v="0"/>
  </r>
  <r>
    <n v="30"/>
    <n v="98"/>
    <x v="97"/>
    <x v="97"/>
    <n v="0"/>
    <n v="0"/>
    <n v="0"/>
    <x v="0"/>
    <x v="1"/>
    <x v="0"/>
    <x v="1"/>
    <x v="1"/>
    <n v="1"/>
    <x v="0"/>
  </r>
  <r>
    <n v="31"/>
    <n v="99"/>
    <x v="98"/>
    <x v="98"/>
    <n v="0"/>
    <n v="0"/>
    <n v="0"/>
    <x v="0"/>
    <x v="1"/>
    <x v="0"/>
    <x v="1"/>
    <x v="1"/>
    <n v="1"/>
    <x v="0"/>
  </r>
  <r>
    <n v="31"/>
    <n v="100"/>
    <x v="99"/>
    <x v="99"/>
    <n v="0"/>
    <n v="0"/>
    <n v="0"/>
    <x v="0"/>
    <x v="1"/>
    <x v="0"/>
    <x v="1"/>
    <x v="1"/>
    <n v="1"/>
    <x v="0"/>
  </r>
  <r>
    <n v="31"/>
    <n v="101"/>
    <x v="100"/>
    <x v="100"/>
    <n v="75"/>
    <n v="0"/>
    <n v="2.6800000000000001E-2"/>
    <x v="0"/>
    <x v="1"/>
    <x v="0"/>
    <x v="0"/>
    <x v="1"/>
    <n v="1"/>
    <x v="0"/>
  </r>
  <r>
    <n v="31"/>
    <n v="102"/>
    <x v="101"/>
    <x v="101"/>
    <n v="0"/>
    <n v="0"/>
    <n v="0"/>
    <x v="0"/>
    <x v="1"/>
    <x v="0"/>
    <x v="1"/>
    <x v="1"/>
    <n v="1"/>
    <x v="0"/>
  </r>
  <r>
    <n v="32"/>
    <n v="103"/>
    <x v="102"/>
    <x v="102"/>
    <n v="0"/>
    <n v="0"/>
    <n v="0"/>
    <x v="0"/>
    <x v="1"/>
    <x v="0"/>
    <x v="1"/>
    <x v="1"/>
    <n v="1"/>
    <x v="0"/>
  </r>
  <r>
    <n v="32"/>
    <n v="104"/>
    <x v="103"/>
    <x v="103"/>
    <n v="0"/>
    <n v="0"/>
    <n v="0"/>
    <x v="0"/>
    <x v="1"/>
    <x v="0"/>
    <x v="1"/>
    <x v="1"/>
    <n v="1"/>
    <x v="0"/>
  </r>
  <r>
    <n v="32"/>
    <n v="105"/>
    <x v="104"/>
    <x v="104"/>
    <n v="50"/>
    <n v="0"/>
    <n v="0.02"/>
    <x v="0"/>
    <x v="1"/>
    <x v="0"/>
    <x v="0"/>
    <x v="1"/>
    <n v="1"/>
    <x v="0"/>
  </r>
  <r>
    <n v="32"/>
    <n v="106"/>
    <x v="105"/>
    <x v="105"/>
    <n v="0"/>
    <n v="0"/>
    <n v="0"/>
    <x v="0"/>
    <x v="1"/>
    <x v="0"/>
    <x v="1"/>
    <x v="1"/>
    <n v="1"/>
    <x v="0"/>
  </r>
  <r>
    <n v="33"/>
    <n v="107"/>
    <x v="106"/>
    <x v="106"/>
    <n v="40"/>
    <n v="0"/>
    <n v="0.25"/>
    <x v="0"/>
    <x v="1"/>
    <x v="1"/>
    <x v="1"/>
    <x v="1"/>
    <n v="1"/>
    <x v="0"/>
  </r>
  <r>
    <n v="33"/>
    <n v="108"/>
    <x v="107"/>
    <x v="107"/>
    <n v="0"/>
    <n v="0"/>
    <n v="0"/>
    <x v="0"/>
    <x v="1"/>
    <x v="0"/>
    <x v="1"/>
    <x v="1"/>
    <n v="1"/>
    <x v="0"/>
  </r>
  <r>
    <n v="33"/>
    <n v="109"/>
    <x v="108"/>
    <x v="108"/>
    <n v="60"/>
    <n v="0"/>
    <n v="0.1"/>
    <x v="1"/>
    <x v="0"/>
    <x v="0"/>
    <x v="1"/>
    <x v="1"/>
    <n v="1"/>
    <x v="0"/>
  </r>
  <r>
    <n v="33"/>
    <n v="110"/>
    <x v="109"/>
    <x v="109"/>
    <n v="10"/>
    <n v="0"/>
    <n v="0.1"/>
    <x v="0"/>
    <x v="0"/>
    <x v="0"/>
    <x v="1"/>
    <x v="1"/>
    <n v="1"/>
    <x v="0"/>
  </r>
  <r>
    <n v="34"/>
    <n v="111"/>
    <x v="110"/>
    <x v="110"/>
    <n v="40"/>
    <n v="0"/>
    <n v="0.2"/>
    <x v="0"/>
    <x v="0"/>
    <x v="1"/>
    <x v="1"/>
    <x v="0"/>
    <n v="1"/>
    <x v="0"/>
  </r>
  <r>
    <n v="34"/>
    <n v="112"/>
    <x v="111"/>
    <x v="111"/>
    <n v="0"/>
    <n v="0"/>
    <n v="0"/>
    <x v="0"/>
    <x v="1"/>
    <x v="0"/>
    <x v="1"/>
    <x v="1"/>
    <n v="1"/>
    <x v="0"/>
  </r>
  <r>
    <n v="34"/>
    <n v="113"/>
    <x v="112"/>
    <x v="112"/>
    <n v="0"/>
    <n v="0"/>
    <n v="0"/>
    <x v="0"/>
    <x v="1"/>
    <x v="0"/>
    <x v="1"/>
    <x v="1"/>
    <n v="1"/>
    <x v="0"/>
  </r>
  <r>
    <n v="34"/>
    <n v="114"/>
    <x v="113"/>
    <x v="113"/>
    <n v="0"/>
    <n v="0"/>
    <n v="0"/>
    <x v="0"/>
    <x v="1"/>
    <x v="0"/>
    <x v="1"/>
    <x v="1"/>
    <n v="1"/>
    <x v="0"/>
  </r>
  <r>
    <n v="35"/>
    <n v="115"/>
    <x v="114"/>
    <x v="114"/>
    <n v="40"/>
    <n v="0"/>
    <n v="0.3"/>
    <x v="1"/>
    <x v="0"/>
    <x v="0"/>
    <x v="0"/>
    <x v="0"/>
    <n v="1"/>
    <x v="0"/>
  </r>
  <r>
    <n v="35"/>
    <n v="116"/>
    <x v="115"/>
    <x v="115"/>
    <n v="0"/>
    <n v="0"/>
    <n v="0"/>
    <x v="0"/>
    <x v="1"/>
    <x v="0"/>
    <x v="1"/>
    <x v="1"/>
    <n v="1"/>
    <x v="0"/>
  </r>
  <r>
    <n v="35"/>
    <n v="117"/>
    <x v="116"/>
    <x v="116"/>
    <n v="0"/>
    <n v="0"/>
    <n v="0"/>
    <x v="0"/>
    <x v="1"/>
    <x v="0"/>
    <x v="1"/>
    <x v="1"/>
    <n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F1198-7041-4C43-94BA-62808ED4D426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1" firstHeaderRow="1" firstDataRow="1" firstDataCol="1"/>
  <pivotFields count="13">
    <pivotField showAll="0"/>
    <pivotField showAll="0"/>
    <pivotField showAll="0"/>
    <pivotField axis="axisRow" showAll="0">
      <items count="118">
        <item x="76"/>
        <item x="95"/>
        <item x="90"/>
        <item x="82"/>
        <item x="86"/>
        <item x="71"/>
        <item x="33"/>
        <item x="100"/>
        <item x="110"/>
        <item x="74"/>
        <item x="45"/>
        <item x="14"/>
        <item x="36"/>
        <item x="4"/>
        <item x="63"/>
        <item x="116"/>
        <item x="18"/>
        <item x="44"/>
        <item x="84"/>
        <item x="62"/>
        <item x="66"/>
        <item x="59"/>
        <item x="32"/>
        <item x="61"/>
        <item x="2"/>
        <item x="41"/>
        <item x="7"/>
        <item x="46"/>
        <item x="78"/>
        <item x="12"/>
        <item x="37"/>
        <item x="50"/>
        <item x="28"/>
        <item x="55"/>
        <item x="8"/>
        <item x="113"/>
        <item x="30"/>
        <item x="96"/>
        <item x="6"/>
        <item x="70"/>
        <item x="0"/>
        <item x="56"/>
        <item x="19"/>
        <item x="75"/>
        <item x="83"/>
        <item x="98"/>
        <item x="40"/>
        <item x="26"/>
        <item x="3"/>
        <item x="48"/>
        <item x="54"/>
        <item x="39"/>
        <item x="77"/>
        <item x="15"/>
        <item x="34"/>
        <item x="106"/>
        <item x="87"/>
        <item x="9"/>
        <item x="65"/>
        <item x="91"/>
        <item x="21"/>
        <item x="20"/>
        <item x="89"/>
        <item x="57"/>
        <item x="114"/>
        <item x="47"/>
        <item x="58"/>
        <item x="60"/>
        <item x="27"/>
        <item x="69"/>
        <item x="16"/>
        <item x="35"/>
        <item x="73"/>
        <item x="67"/>
        <item x="88"/>
        <item x="81"/>
        <item x="10"/>
        <item x="112"/>
        <item x="17"/>
        <item x="79"/>
        <item x="94"/>
        <item x="105"/>
        <item x="52"/>
        <item x="51"/>
        <item x="22"/>
        <item x="102"/>
        <item x="1"/>
        <item x="13"/>
        <item x="111"/>
        <item x="104"/>
        <item x="80"/>
        <item x="43"/>
        <item x="97"/>
        <item x="42"/>
        <item x="23"/>
        <item x="24"/>
        <item x="101"/>
        <item x="49"/>
        <item x="108"/>
        <item x="92"/>
        <item x="93"/>
        <item x="72"/>
        <item x="29"/>
        <item x="64"/>
        <item x="103"/>
        <item x="53"/>
        <item x="68"/>
        <item x="5"/>
        <item x="11"/>
        <item x="107"/>
        <item x="99"/>
        <item x="85"/>
        <item x="109"/>
        <item x="31"/>
        <item x="115"/>
        <item x="25"/>
        <item x="3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Sum of Investment Amount (In Lakhs INR)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34613-16E3-4E4D-B32E-4BB3837F5D64}" name="PivotTable9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1" firstHeaderRow="1" firstDataRow="1" firstDataCol="1"/>
  <pivotFields count="14">
    <pivotField showAll="0"/>
    <pivotField showAll="0"/>
    <pivotField showAll="0"/>
    <pivotField axis="axisRow" showAll="0">
      <items count="118">
        <item x="76"/>
        <item x="95"/>
        <item x="90"/>
        <item x="82"/>
        <item x="86"/>
        <item x="71"/>
        <item x="33"/>
        <item x="100"/>
        <item x="110"/>
        <item x="74"/>
        <item x="45"/>
        <item x="14"/>
        <item x="36"/>
        <item x="4"/>
        <item x="63"/>
        <item x="116"/>
        <item x="18"/>
        <item x="44"/>
        <item x="84"/>
        <item x="62"/>
        <item x="66"/>
        <item x="59"/>
        <item x="32"/>
        <item x="61"/>
        <item x="2"/>
        <item x="41"/>
        <item x="7"/>
        <item x="46"/>
        <item x="78"/>
        <item x="12"/>
        <item x="37"/>
        <item x="50"/>
        <item x="28"/>
        <item x="55"/>
        <item x="8"/>
        <item x="113"/>
        <item x="30"/>
        <item x="96"/>
        <item x="6"/>
        <item x="70"/>
        <item x="0"/>
        <item x="56"/>
        <item x="19"/>
        <item x="75"/>
        <item x="83"/>
        <item x="98"/>
        <item x="40"/>
        <item x="26"/>
        <item x="3"/>
        <item x="48"/>
        <item x="54"/>
        <item x="39"/>
        <item x="77"/>
        <item x="15"/>
        <item x="34"/>
        <item x="106"/>
        <item x="87"/>
        <item x="9"/>
        <item x="65"/>
        <item x="91"/>
        <item x="21"/>
        <item x="20"/>
        <item x="89"/>
        <item x="57"/>
        <item x="114"/>
        <item x="47"/>
        <item x="58"/>
        <item x="60"/>
        <item x="27"/>
        <item x="69"/>
        <item x="16"/>
        <item x="35"/>
        <item x="73"/>
        <item x="67"/>
        <item x="88"/>
        <item x="81"/>
        <item x="10"/>
        <item x="112"/>
        <item x="17"/>
        <item x="79"/>
        <item x="94"/>
        <item x="105"/>
        <item x="52"/>
        <item x="51"/>
        <item x="22"/>
        <item x="102"/>
        <item x="1"/>
        <item x="13"/>
        <item x="111"/>
        <item x="104"/>
        <item x="80"/>
        <item x="43"/>
        <item x="97"/>
        <item x="42"/>
        <item x="23"/>
        <item x="24"/>
        <item x="101"/>
        <item x="49"/>
        <item x="108"/>
        <item x="92"/>
        <item x="93"/>
        <item x="72"/>
        <item x="29"/>
        <item x="64"/>
        <item x="103"/>
        <item x="53"/>
        <item x="68"/>
        <item x="5"/>
        <item x="11"/>
        <item x="107"/>
        <item x="99"/>
        <item x="85"/>
        <item x="109"/>
        <item x="31"/>
        <item x="115"/>
        <item x="25"/>
        <item x="3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 t="grand">
      <x/>
    </i>
  </rowItems>
  <colItems count="1">
    <i/>
  </colItems>
  <dataFields count="1">
    <dataField name="Sum of Investment" fld="4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AD6945-73AC-4194-B329-D8FE03B6402A}" name="PivotTable10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4" firstHeaderRow="0" firstDataRow="1" firstDataCol="0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showAll="0"/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Vineeta" fld="11" subtotal="count" baseField="0" baseItem="0"/>
    <dataField name="Count of Anupam" fld="7" subtotal="count" baseField="0" baseItem="0"/>
    <dataField name="Count of Namita" fld="9" subtotal="count" baseField="0" baseItem="0"/>
    <dataField name="Count of Aman" fld="10" subtotal="count" baseField="0" baseItem="0"/>
    <dataField name="Count of Ashneer" fld="8" subtotal="count" baseField="0" baseItem="0"/>
  </dataFields>
  <chartFormats count="5"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FDC5A-E230-4B5B-AA55-1C0DCF3B738A}" name="PivotTable1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5" firstHeaderRow="1" firstDataRow="1" firstDataCol="1"/>
  <pivotFields count="14">
    <pivotField showAll="0"/>
    <pivotField showAll="0"/>
    <pivotField dataField="1" showAll="0">
      <items count="118">
        <item x="50"/>
        <item x="5"/>
        <item x="86"/>
        <item x="80"/>
        <item x="24"/>
        <item x="36"/>
        <item x="56"/>
        <item x="25"/>
        <item x="31"/>
        <item x="101"/>
        <item x="33"/>
        <item x="100"/>
        <item x="62"/>
        <item x="45"/>
        <item x="21"/>
        <item x="47"/>
        <item x="0"/>
        <item x="1"/>
        <item x="11"/>
        <item x="37"/>
        <item x="44"/>
        <item x="106"/>
        <item x="9"/>
        <item x="116"/>
        <item x="57"/>
        <item x="29"/>
        <item x="103"/>
        <item x="70"/>
        <item x="32"/>
        <item x="49"/>
        <item x="46"/>
        <item x="64"/>
        <item x="90"/>
        <item x="41"/>
        <item x="30"/>
        <item x="112"/>
        <item x="104"/>
        <item x="73"/>
        <item x="67"/>
        <item x="42"/>
        <item x="4"/>
        <item x="2"/>
        <item x="17"/>
        <item x="88"/>
        <item x="13"/>
        <item x="63"/>
        <item x="54"/>
        <item x="87"/>
        <item x="81"/>
        <item x="114"/>
        <item x="10"/>
        <item x="82"/>
        <item x="95"/>
        <item x="26"/>
        <item x="59"/>
        <item x="76"/>
        <item x="89"/>
        <item x="20"/>
        <item x="48"/>
        <item x="35"/>
        <item x="60"/>
        <item x="107"/>
        <item x="28"/>
        <item x="105"/>
        <item x="16"/>
        <item x="74"/>
        <item x="53"/>
        <item x="69"/>
        <item x="40"/>
        <item x="23"/>
        <item x="71"/>
        <item x="8"/>
        <item x="110"/>
        <item x="77"/>
        <item x="27"/>
        <item x="113"/>
        <item x="55"/>
        <item x="51"/>
        <item x="78"/>
        <item x="92"/>
        <item x="7"/>
        <item x="93"/>
        <item x="43"/>
        <item x="68"/>
        <item x="109"/>
        <item x="6"/>
        <item x="18"/>
        <item x="83"/>
        <item x="12"/>
        <item x="52"/>
        <item x="99"/>
        <item x="97"/>
        <item x="98"/>
        <item x="96"/>
        <item x="14"/>
        <item x="65"/>
        <item x="94"/>
        <item x="15"/>
        <item x="79"/>
        <item x="34"/>
        <item x="3"/>
        <item x="66"/>
        <item x="39"/>
        <item x="75"/>
        <item x="61"/>
        <item x="38"/>
        <item x="102"/>
        <item x="84"/>
        <item x="19"/>
        <item x="111"/>
        <item x="108"/>
        <item x="72"/>
        <item x="22"/>
        <item x="91"/>
        <item x="85"/>
        <item x="58"/>
        <item x="1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13"/>
  </rowFields>
  <rowItems count="2">
    <i>
      <x/>
    </i>
    <i t="grand">
      <x/>
    </i>
  </rowItems>
  <colItems count="1">
    <i/>
  </colItems>
  <dataFields count="1">
    <dataField name="Count of Brand" fld="2" subtotal="count" baseField="0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5267-4921-4373-99FD-58741974115D}">
  <dimension ref="A3:B121"/>
  <sheetViews>
    <sheetView topLeftCell="A10" workbookViewId="0">
      <selection activeCell="A3" sqref="A3"/>
    </sheetView>
  </sheetViews>
  <sheetFormatPr defaultRowHeight="14.5" x14ac:dyDescent="0.35"/>
  <cols>
    <col min="1" max="1" width="40.90625" bestFit="1" customWidth="1"/>
    <col min="2" max="2" width="36.1796875" bestFit="1" customWidth="1"/>
  </cols>
  <sheetData>
    <row r="3" spans="1:2" x14ac:dyDescent="0.35">
      <c r="A3" s="3" t="s">
        <v>248</v>
      </c>
      <c r="B3" t="s">
        <v>250</v>
      </c>
    </row>
    <row r="4" spans="1:2" x14ac:dyDescent="0.35">
      <c r="A4" s="4" t="s">
        <v>166</v>
      </c>
      <c r="B4" s="5">
        <v>10</v>
      </c>
    </row>
    <row r="5" spans="1:2" x14ac:dyDescent="0.35">
      <c r="A5" s="4" t="s">
        <v>204</v>
      </c>
      <c r="B5" s="5">
        <v>80</v>
      </c>
    </row>
    <row r="6" spans="1:2" x14ac:dyDescent="0.35">
      <c r="A6" s="4" t="s">
        <v>194</v>
      </c>
      <c r="B6" s="5">
        <v>50</v>
      </c>
    </row>
    <row r="7" spans="1:2" x14ac:dyDescent="0.35">
      <c r="A7" s="4" t="s">
        <v>178</v>
      </c>
      <c r="B7" s="5">
        <v>0</v>
      </c>
    </row>
    <row r="8" spans="1:2" x14ac:dyDescent="0.35">
      <c r="A8" s="4" t="s">
        <v>186</v>
      </c>
      <c r="B8" s="5">
        <v>0</v>
      </c>
    </row>
    <row r="9" spans="1:2" x14ac:dyDescent="0.35">
      <c r="A9" s="4" t="s">
        <v>156</v>
      </c>
      <c r="B9" s="5">
        <v>50</v>
      </c>
    </row>
    <row r="10" spans="1:2" x14ac:dyDescent="0.35">
      <c r="A10" s="4" t="s">
        <v>80</v>
      </c>
      <c r="B10" s="5">
        <v>75</v>
      </c>
    </row>
    <row r="11" spans="1:2" x14ac:dyDescent="0.35">
      <c r="A11" s="4" t="s">
        <v>214</v>
      </c>
      <c r="B11" s="5">
        <v>75</v>
      </c>
    </row>
    <row r="12" spans="1:2" x14ac:dyDescent="0.35">
      <c r="A12" s="4" t="s">
        <v>234</v>
      </c>
      <c r="B12" s="5">
        <v>40</v>
      </c>
    </row>
    <row r="13" spans="1:2" x14ac:dyDescent="0.35">
      <c r="A13" s="4" t="s">
        <v>162</v>
      </c>
      <c r="B13" s="5">
        <v>0</v>
      </c>
    </row>
    <row r="14" spans="1:2" x14ac:dyDescent="0.35">
      <c r="A14" s="4" t="s">
        <v>104</v>
      </c>
      <c r="B14" s="5">
        <v>50</v>
      </c>
    </row>
    <row r="15" spans="1:2" x14ac:dyDescent="0.35">
      <c r="A15" s="4" t="s">
        <v>42</v>
      </c>
      <c r="B15" s="5">
        <v>0</v>
      </c>
    </row>
    <row r="16" spans="1:2" x14ac:dyDescent="0.35">
      <c r="A16" s="4" t="s">
        <v>86</v>
      </c>
      <c r="B16" s="5">
        <v>10</v>
      </c>
    </row>
    <row r="17" spans="1:2" x14ac:dyDescent="0.35">
      <c r="A17" s="4" t="s">
        <v>22</v>
      </c>
      <c r="B17" s="5">
        <v>0</v>
      </c>
    </row>
    <row r="18" spans="1:2" x14ac:dyDescent="0.35">
      <c r="A18" s="4" t="s">
        <v>140</v>
      </c>
      <c r="B18" s="5">
        <v>10</v>
      </c>
    </row>
    <row r="19" spans="1:2" x14ac:dyDescent="0.35">
      <c r="A19" s="4" t="s">
        <v>246</v>
      </c>
      <c r="B19" s="5">
        <v>0</v>
      </c>
    </row>
    <row r="20" spans="1:2" x14ac:dyDescent="0.35">
      <c r="A20" s="4" t="s">
        <v>50</v>
      </c>
      <c r="B20" s="5">
        <v>10</v>
      </c>
    </row>
    <row r="21" spans="1:2" x14ac:dyDescent="0.35">
      <c r="A21" s="4" t="s">
        <v>102</v>
      </c>
      <c r="B21" s="5">
        <v>5</v>
      </c>
    </row>
    <row r="22" spans="1:2" x14ac:dyDescent="0.35">
      <c r="A22" s="4" t="s">
        <v>182</v>
      </c>
      <c r="B22" s="5">
        <v>0</v>
      </c>
    </row>
    <row r="23" spans="1:2" x14ac:dyDescent="0.35">
      <c r="A23" s="4" t="s">
        <v>138</v>
      </c>
      <c r="B23" s="5">
        <v>0</v>
      </c>
    </row>
    <row r="24" spans="1:2" x14ac:dyDescent="0.35">
      <c r="A24" s="4" t="s">
        <v>146</v>
      </c>
      <c r="B24" s="5">
        <v>35</v>
      </c>
    </row>
    <row r="25" spans="1:2" x14ac:dyDescent="0.35">
      <c r="A25" s="4" t="s">
        <v>132</v>
      </c>
      <c r="B25" s="5">
        <v>0</v>
      </c>
    </row>
    <row r="26" spans="1:2" x14ac:dyDescent="0.35">
      <c r="A26" s="4" t="s">
        <v>78</v>
      </c>
      <c r="B26" s="5">
        <v>30</v>
      </c>
    </row>
    <row r="27" spans="1:2" x14ac:dyDescent="0.35">
      <c r="A27" s="4" t="s">
        <v>136</v>
      </c>
      <c r="B27" s="5">
        <v>40</v>
      </c>
    </row>
    <row r="28" spans="1:2" x14ac:dyDescent="0.35">
      <c r="A28" s="4" t="s">
        <v>18</v>
      </c>
      <c r="B28" s="5">
        <v>25</v>
      </c>
    </row>
    <row r="29" spans="1:2" x14ac:dyDescent="0.35">
      <c r="A29" s="4" t="s">
        <v>96</v>
      </c>
      <c r="B29" s="5">
        <v>0</v>
      </c>
    </row>
    <row r="30" spans="1:2" x14ac:dyDescent="0.35">
      <c r="A30" s="4" t="s">
        <v>28</v>
      </c>
      <c r="B30" s="5">
        <v>75</v>
      </c>
    </row>
    <row r="31" spans="1:2" x14ac:dyDescent="0.35">
      <c r="A31" s="4" t="s">
        <v>106</v>
      </c>
      <c r="B31" s="5">
        <v>0</v>
      </c>
    </row>
    <row r="32" spans="1:2" x14ac:dyDescent="0.35">
      <c r="A32" s="4" t="s">
        <v>170</v>
      </c>
      <c r="B32" s="5">
        <v>50</v>
      </c>
    </row>
    <row r="33" spans="1:2" x14ac:dyDescent="0.35">
      <c r="A33" s="4" t="s">
        <v>38</v>
      </c>
      <c r="B33" s="5">
        <v>10</v>
      </c>
    </row>
    <row r="34" spans="1:2" x14ac:dyDescent="0.35">
      <c r="A34" s="4" t="s">
        <v>88</v>
      </c>
      <c r="B34" s="5">
        <v>50</v>
      </c>
    </row>
    <row r="35" spans="1:2" x14ac:dyDescent="0.35">
      <c r="A35" s="4" t="s">
        <v>114</v>
      </c>
      <c r="B35" s="5">
        <v>15</v>
      </c>
    </row>
    <row r="36" spans="1:2" x14ac:dyDescent="0.35">
      <c r="A36" s="4" t="s">
        <v>70</v>
      </c>
      <c r="B36" s="5">
        <v>30</v>
      </c>
    </row>
    <row r="37" spans="1:2" x14ac:dyDescent="0.35">
      <c r="A37" s="4" t="s">
        <v>124</v>
      </c>
      <c r="B37" s="5">
        <v>1</v>
      </c>
    </row>
    <row r="38" spans="1:2" x14ac:dyDescent="0.35">
      <c r="A38" s="4" t="s">
        <v>30</v>
      </c>
      <c r="B38" s="5">
        <v>20</v>
      </c>
    </row>
    <row r="39" spans="1:2" x14ac:dyDescent="0.35">
      <c r="A39" s="4" t="s">
        <v>240</v>
      </c>
      <c r="B39" s="5">
        <v>0</v>
      </c>
    </row>
    <row r="40" spans="1:2" x14ac:dyDescent="0.35">
      <c r="A40" s="4" t="s">
        <v>74</v>
      </c>
      <c r="B40" s="5">
        <v>0</v>
      </c>
    </row>
    <row r="41" spans="1:2" x14ac:dyDescent="0.35">
      <c r="A41" s="4" t="s">
        <v>206</v>
      </c>
      <c r="B41" s="5">
        <v>0</v>
      </c>
    </row>
    <row r="42" spans="1:2" x14ac:dyDescent="0.35">
      <c r="A42" s="4" t="s">
        <v>26</v>
      </c>
      <c r="B42" s="5">
        <v>0</v>
      </c>
    </row>
    <row r="43" spans="1:2" x14ac:dyDescent="0.35">
      <c r="A43" s="4" t="s">
        <v>154</v>
      </c>
      <c r="B43" s="5">
        <v>0</v>
      </c>
    </row>
    <row r="44" spans="1:2" x14ac:dyDescent="0.35">
      <c r="A44" s="4" t="s">
        <v>12</v>
      </c>
      <c r="B44" s="5">
        <v>75</v>
      </c>
    </row>
    <row r="45" spans="1:2" x14ac:dyDescent="0.35">
      <c r="A45" s="4" t="s">
        <v>126</v>
      </c>
      <c r="B45" s="5">
        <v>0</v>
      </c>
    </row>
    <row r="46" spans="1:2" x14ac:dyDescent="0.35">
      <c r="A46" s="4" t="s">
        <v>52</v>
      </c>
      <c r="B46" s="5">
        <v>0</v>
      </c>
    </row>
    <row r="47" spans="1:2" x14ac:dyDescent="0.35">
      <c r="A47" s="4" t="s">
        <v>164</v>
      </c>
      <c r="B47" s="5">
        <v>50</v>
      </c>
    </row>
    <row r="48" spans="1:2" x14ac:dyDescent="0.35">
      <c r="A48" s="4" t="s">
        <v>180</v>
      </c>
      <c r="B48" s="5">
        <v>65</v>
      </c>
    </row>
    <row r="49" spans="1:2" x14ac:dyDescent="0.35">
      <c r="A49" s="4" t="s">
        <v>210</v>
      </c>
      <c r="B49" s="5">
        <v>0</v>
      </c>
    </row>
    <row r="50" spans="1:2" x14ac:dyDescent="0.35">
      <c r="A50" s="4" t="s">
        <v>94</v>
      </c>
      <c r="B50" s="5">
        <v>0</v>
      </c>
    </row>
    <row r="51" spans="1:2" x14ac:dyDescent="0.35">
      <c r="A51" s="4" t="s">
        <v>66</v>
      </c>
      <c r="B51" s="5">
        <v>0</v>
      </c>
    </row>
    <row r="52" spans="1:2" x14ac:dyDescent="0.35">
      <c r="A52" s="4" t="s">
        <v>20</v>
      </c>
      <c r="B52" s="5">
        <v>70</v>
      </c>
    </row>
    <row r="53" spans="1:2" x14ac:dyDescent="0.35">
      <c r="A53" s="4" t="s">
        <v>110</v>
      </c>
      <c r="B53" s="5">
        <v>45</v>
      </c>
    </row>
    <row r="54" spans="1:2" x14ac:dyDescent="0.35">
      <c r="A54" s="4" t="s">
        <v>122</v>
      </c>
      <c r="B54" s="5">
        <v>0</v>
      </c>
    </row>
    <row r="55" spans="1:2" x14ac:dyDescent="0.35">
      <c r="A55" s="4" t="s">
        <v>92</v>
      </c>
      <c r="B55" s="5">
        <v>10</v>
      </c>
    </row>
    <row r="56" spans="1:2" x14ac:dyDescent="0.35">
      <c r="A56" s="4" t="s">
        <v>168</v>
      </c>
      <c r="B56" s="5">
        <v>0</v>
      </c>
    </row>
    <row r="57" spans="1:2" x14ac:dyDescent="0.35">
      <c r="A57" s="4" t="s">
        <v>44</v>
      </c>
      <c r="B57" s="5">
        <v>10</v>
      </c>
    </row>
    <row r="58" spans="1:2" x14ac:dyDescent="0.35">
      <c r="A58" s="4" t="s">
        <v>82</v>
      </c>
      <c r="B58" s="5">
        <v>0</v>
      </c>
    </row>
    <row r="59" spans="1:2" x14ac:dyDescent="0.35">
      <c r="A59" s="4" t="s">
        <v>226</v>
      </c>
      <c r="B59" s="5">
        <v>40</v>
      </c>
    </row>
    <row r="60" spans="1:2" x14ac:dyDescent="0.35">
      <c r="A60" s="4" t="s">
        <v>188</v>
      </c>
      <c r="B60" s="5">
        <v>10</v>
      </c>
    </row>
    <row r="61" spans="1:2" x14ac:dyDescent="0.35">
      <c r="A61" s="4" t="s">
        <v>32</v>
      </c>
      <c r="B61" s="5">
        <v>50</v>
      </c>
    </row>
    <row r="62" spans="1:2" x14ac:dyDescent="0.35">
      <c r="A62" s="4" t="s">
        <v>144</v>
      </c>
      <c r="B62" s="5">
        <v>25</v>
      </c>
    </row>
    <row r="63" spans="1:2" x14ac:dyDescent="0.35">
      <c r="A63" s="4" t="s">
        <v>196</v>
      </c>
      <c r="B63" s="5">
        <v>75</v>
      </c>
    </row>
    <row r="64" spans="1:2" x14ac:dyDescent="0.35">
      <c r="A64" s="4" t="s">
        <v>56</v>
      </c>
      <c r="B64" s="5">
        <v>50</v>
      </c>
    </row>
    <row r="65" spans="1:2" x14ac:dyDescent="0.35">
      <c r="A65" s="4" t="s">
        <v>54</v>
      </c>
      <c r="B65" s="5">
        <v>0</v>
      </c>
    </row>
    <row r="66" spans="1:2" x14ac:dyDescent="0.35">
      <c r="A66" s="4" t="s">
        <v>192</v>
      </c>
      <c r="B66" s="5">
        <v>0</v>
      </c>
    </row>
    <row r="67" spans="1:2" x14ac:dyDescent="0.35">
      <c r="A67" s="4" t="s">
        <v>128</v>
      </c>
      <c r="B67" s="5">
        <v>0</v>
      </c>
    </row>
    <row r="68" spans="1:2" x14ac:dyDescent="0.35">
      <c r="A68" s="4" t="s">
        <v>242</v>
      </c>
      <c r="B68" s="5">
        <v>40</v>
      </c>
    </row>
    <row r="69" spans="1:2" x14ac:dyDescent="0.35">
      <c r="A69" s="4" t="s">
        <v>108</v>
      </c>
      <c r="B69" s="5">
        <v>75</v>
      </c>
    </row>
    <row r="70" spans="1:2" x14ac:dyDescent="0.35">
      <c r="A70" s="4" t="s">
        <v>130</v>
      </c>
      <c r="B70" s="5">
        <v>60</v>
      </c>
    </row>
    <row r="71" spans="1:2" x14ac:dyDescent="0.35">
      <c r="A71" s="4" t="s">
        <v>134</v>
      </c>
      <c r="B71" s="5">
        <v>0</v>
      </c>
    </row>
    <row r="72" spans="1:2" x14ac:dyDescent="0.35">
      <c r="A72" s="4" t="s">
        <v>68</v>
      </c>
      <c r="B72" s="5">
        <v>25</v>
      </c>
    </row>
    <row r="73" spans="1:2" x14ac:dyDescent="0.35">
      <c r="A73" s="4" t="s">
        <v>152</v>
      </c>
      <c r="B73" s="5">
        <v>0</v>
      </c>
    </row>
    <row r="74" spans="1:2" x14ac:dyDescent="0.35">
      <c r="A74" s="4" t="s">
        <v>46</v>
      </c>
      <c r="B74" s="5">
        <v>50</v>
      </c>
    </row>
    <row r="75" spans="1:2" x14ac:dyDescent="0.35">
      <c r="A75" s="4" t="s">
        <v>84</v>
      </c>
      <c r="B75" s="5">
        <v>40</v>
      </c>
    </row>
    <row r="76" spans="1:2" x14ac:dyDescent="0.35">
      <c r="A76" s="4" t="s">
        <v>160</v>
      </c>
      <c r="B76" s="5">
        <v>0</v>
      </c>
    </row>
    <row r="77" spans="1:2" x14ac:dyDescent="0.35">
      <c r="A77" s="4" t="s">
        <v>148</v>
      </c>
      <c r="B77" s="5">
        <v>60</v>
      </c>
    </row>
    <row r="78" spans="1:2" x14ac:dyDescent="0.35">
      <c r="A78" s="4" t="s">
        <v>190</v>
      </c>
      <c r="B78" s="5">
        <v>10</v>
      </c>
    </row>
    <row r="79" spans="1:2" x14ac:dyDescent="0.35">
      <c r="A79" s="4" t="s">
        <v>176</v>
      </c>
      <c r="B79" s="5">
        <v>50</v>
      </c>
    </row>
    <row r="80" spans="1:2" x14ac:dyDescent="0.35">
      <c r="A80" s="4" t="s">
        <v>34</v>
      </c>
      <c r="B80" s="5">
        <v>0</v>
      </c>
    </row>
    <row r="81" spans="1:2" x14ac:dyDescent="0.35">
      <c r="A81" s="4" t="s">
        <v>238</v>
      </c>
      <c r="B81" s="5">
        <v>0</v>
      </c>
    </row>
    <row r="82" spans="1:2" x14ac:dyDescent="0.35">
      <c r="A82" s="4" t="s">
        <v>48</v>
      </c>
      <c r="B82" s="5">
        <v>0</v>
      </c>
    </row>
    <row r="83" spans="1:2" x14ac:dyDescent="0.35">
      <c r="A83" s="4" t="s">
        <v>172</v>
      </c>
      <c r="B83" s="5">
        <v>10</v>
      </c>
    </row>
    <row r="84" spans="1:2" x14ac:dyDescent="0.35">
      <c r="A84" s="4" t="s">
        <v>202</v>
      </c>
      <c r="B84" s="5">
        <v>0</v>
      </c>
    </row>
    <row r="85" spans="1:2" x14ac:dyDescent="0.35">
      <c r="A85" s="4" t="s">
        <v>224</v>
      </c>
      <c r="B85" s="5">
        <v>0</v>
      </c>
    </row>
    <row r="86" spans="1:2" x14ac:dyDescent="0.35">
      <c r="A86" s="4" t="s">
        <v>118</v>
      </c>
      <c r="B86" s="5">
        <v>80</v>
      </c>
    </row>
    <row r="87" spans="1:2" x14ac:dyDescent="0.35">
      <c r="A87" s="4" t="s">
        <v>116</v>
      </c>
      <c r="B87" s="5">
        <v>0</v>
      </c>
    </row>
    <row r="88" spans="1:2" x14ac:dyDescent="0.35">
      <c r="A88" s="4" t="s">
        <v>58</v>
      </c>
      <c r="B88" s="5">
        <v>56</v>
      </c>
    </row>
    <row r="89" spans="1:2" x14ac:dyDescent="0.35">
      <c r="A89" s="4" t="s">
        <v>218</v>
      </c>
      <c r="B89" s="5">
        <v>0</v>
      </c>
    </row>
    <row r="90" spans="1:2" x14ac:dyDescent="0.35">
      <c r="A90" s="4" t="s">
        <v>16</v>
      </c>
      <c r="B90" s="5">
        <v>40</v>
      </c>
    </row>
    <row r="91" spans="1:2" x14ac:dyDescent="0.35">
      <c r="A91" s="4" t="s">
        <v>40</v>
      </c>
      <c r="B91" s="5">
        <v>0</v>
      </c>
    </row>
    <row r="92" spans="1:2" x14ac:dyDescent="0.35">
      <c r="A92" s="4" t="s">
        <v>236</v>
      </c>
      <c r="B92" s="5">
        <v>0</v>
      </c>
    </row>
    <row r="93" spans="1:2" x14ac:dyDescent="0.35">
      <c r="A93" s="4" t="s">
        <v>222</v>
      </c>
      <c r="B93" s="5">
        <v>50</v>
      </c>
    </row>
    <row r="94" spans="1:2" x14ac:dyDescent="0.35">
      <c r="A94" s="4" t="s">
        <v>174</v>
      </c>
      <c r="B94" s="5">
        <v>0</v>
      </c>
    </row>
    <row r="95" spans="1:2" x14ac:dyDescent="0.35">
      <c r="A95" s="4" t="s">
        <v>100</v>
      </c>
      <c r="B95" s="5">
        <v>25</v>
      </c>
    </row>
    <row r="96" spans="1:2" x14ac:dyDescent="0.35">
      <c r="A96" s="4" t="s">
        <v>208</v>
      </c>
      <c r="B96" s="5">
        <v>0</v>
      </c>
    </row>
    <row r="97" spans="1:2" x14ac:dyDescent="0.35">
      <c r="A97" s="4" t="s">
        <v>98</v>
      </c>
      <c r="B97" s="5">
        <v>10</v>
      </c>
    </row>
    <row r="98" spans="1:2" x14ac:dyDescent="0.35">
      <c r="A98" s="4" t="s">
        <v>60</v>
      </c>
      <c r="B98" s="5">
        <v>30</v>
      </c>
    </row>
    <row r="99" spans="1:2" x14ac:dyDescent="0.35">
      <c r="A99" s="4" t="s">
        <v>62</v>
      </c>
      <c r="B99" s="5">
        <v>50</v>
      </c>
    </row>
    <row r="100" spans="1:2" x14ac:dyDescent="0.35">
      <c r="A100" s="4" t="s">
        <v>216</v>
      </c>
      <c r="B100" s="5">
        <v>0</v>
      </c>
    </row>
    <row r="101" spans="1:2" x14ac:dyDescent="0.35">
      <c r="A101" s="4" t="s">
        <v>112</v>
      </c>
      <c r="B101" s="5">
        <v>50</v>
      </c>
    </row>
    <row r="102" spans="1:2" x14ac:dyDescent="0.35">
      <c r="A102" s="4" t="s">
        <v>230</v>
      </c>
      <c r="B102" s="5">
        <v>60</v>
      </c>
    </row>
    <row r="103" spans="1:2" x14ac:dyDescent="0.35">
      <c r="A103" s="4" t="s">
        <v>198</v>
      </c>
      <c r="B103" s="5">
        <v>0</v>
      </c>
    </row>
    <row r="104" spans="1:2" x14ac:dyDescent="0.35">
      <c r="A104" s="4" t="s">
        <v>200</v>
      </c>
      <c r="B104" s="5">
        <v>0</v>
      </c>
    </row>
    <row r="105" spans="1:2" x14ac:dyDescent="0.35">
      <c r="A105" s="4" t="s">
        <v>158</v>
      </c>
      <c r="B105" s="5">
        <v>0</v>
      </c>
    </row>
    <row r="106" spans="1:2" x14ac:dyDescent="0.35">
      <c r="A106" s="4" t="s">
        <v>72</v>
      </c>
      <c r="B106" s="5">
        <v>30</v>
      </c>
    </row>
    <row r="107" spans="1:2" x14ac:dyDescent="0.35">
      <c r="A107" s="4" t="s">
        <v>142</v>
      </c>
      <c r="B107" s="5">
        <v>10</v>
      </c>
    </row>
    <row r="108" spans="1:2" x14ac:dyDescent="0.35">
      <c r="A108" s="4" t="s">
        <v>220</v>
      </c>
      <c r="B108" s="5">
        <v>0</v>
      </c>
    </row>
    <row r="109" spans="1:2" x14ac:dyDescent="0.35">
      <c r="A109" s="4" t="s">
        <v>120</v>
      </c>
      <c r="B109" s="5">
        <v>0</v>
      </c>
    </row>
    <row r="110" spans="1:2" x14ac:dyDescent="0.35">
      <c r="A110" s="4" t="s">
        <v>150</v>
      </c>
      <c r="B110" s="5">
        <v>0</v>
      </c>
    </row>
    <row r="111" spans="1:2" x14ac:dyDescent="0.35">
      <c r="A111" s="4" t="s">
        <v>24</v>
      </c>
      <c r="B111" s="5">
        <v>0</v>
      </c>
    </row>
    <row r="112" spans="1:2" x14ac:dyDescent="0.35">
      <c r="A112" s="4" t="s">
        <v>36</v>
      </c>
      <c r="B112" s="5">
        <v>75</v>
      </c>
    </row>
    <row r="113" spans="1:2" x14ac:dyDescent="0.35">
      <c r="A113" s="4" t="s">
        <v>228</v>
      </c>
      <c r="B113" s="5">
        <v>0</v>
      </c>
    </row>
    <row r="114" spans="1:2" x14ac:dyDescent="0.35">
      <c r="A114" s="4" t="s">
        <v>212</v>
      </c>
      <c r="B114" s="5">
        <v>0</v>
      </c>
    </row>
    <row r="115" spans="1:2" x14ac:dyDescent="0.35">
      <c r="A115" s="4" t="s">
        <v>184</v>
      </c>
      <c r="B115" s="5">
        <v>10</v>
      </c>
    </row>
    <row r="116" spans="1:2" x14ac:dyDescent="0.35">
      <c r="A116" s="4" t="s">
        <v>232</v>
      </c>
      <c r="B116" s="5">
        <v>10</v>
      </c>
    </row>
    <row r="117" spans="1:2" x14ac:dyDescent="0.35">
      <c r="A117" s="4" t="s">
        <v>76</v>
      </c>
      <c r="B117" s="5">
        <v>50</v>
      </c>
    </row>
    <row r="118" spans="1:2" x14ac:dyDescent="0.35">
      <c r="A118" s="4" t="s">
        <v>244</v>
      </c>
      <c r="B118" s="5">
        <v>0</v>
      </c>
    </row>
    <row r="119" spans="1:2" x14ac:dyDescent="0.35">
      <c r="A119" s="4" t="s">
        <v>64</v>
      </c>
      <c r="B119" s="5">
        <v>50</v>
      </c>
    </row>
    <row r="120" spans="1:2" x14ac:dyDescent="0.35">
      <c r="A120" s="4" t="s">
        <v>90</v>
      </c>
      <c r="B120" s="5">
        <v>10</v>
      </c>
    </row>
    <row r="121" spans="1:2" x14ac:dyDescent="0.35">
      <c r="A121" s="4" t="s">
        <v>249</v>
      </c>
      <c r="B121" s="5">
        <v>2537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3799-FECA-4445-9645-2783C4856A85}">
  <dimension ref="A3:B121"/>
  <sheetViews>
    <sheetView topLeftCell="A3" workbookViewId="0">
      <selection activeCell="A3" sqref="A3"/>
    </sheetView>
  </sheetViews>
  <sheetFormatPr defaultRowHeight="14.5" x14ac:dyDescent="0.35"/>
  <cols>
    <col min="1" max="1" width="40.90625" bestFit="1" customWidth="1"/>
    <col min="2" max="2" width="16.54296875" bestFit="1" customWidth="1"/>
  </cols>
  <sheetData>
    <row r="3" spans="1:2" x14ac:dyDescent="0.35">
      <c r="A3" s="3" t="s">
        <v>248</v>
      </c>
      <c r="B3" t="s">
        <v>253</v>
      </c>
    </row>
    <row r="4" spans="1:2" x14ac:dyDescent="0.35">
      <c r="A4" s="4" t="s">
        <v>166</v>
      </c>
      <c r="B4" s="5">
        <v>10</v>
      </c>
    </row>
    <row r="5" spans="1:2" x14ac:dyDescent="0.35">
      <c r="A5" s="4" t="s">
        <v>204</v>
      </c>
      <c r="B5" s="5">
        <v>80</v>
      </c>
    </row>
    <row r="6" spans="1:2" x14ac:dyDescent="0.35">
      <c r="A6" s="4" t="s">
        <v>194</v>
      </c>
      <c r="B6" s="5">
        <v>50</v>
      </c>
    </row>
    <row r="7" spans="1:2" x14ac:dyDescent="0.35">
      <c r="A7" s="4" t="s">
        <v>178</v>
      </c>
      <c r="B7" s="5">
        <v>0</v>
      </c>
    </row>
    <row r="8" spans="1:2" x14ac:dyDescent="0.35">
      <c r="A8" s="4" t="s">
        <v>186</v>
      </c>
      <c r="B8" s="5">
        <v>0</v>
      </c>
    </row>
    <row r="9" spans="1:2" x14ac:dyDescent="0.35">
      <c r="A9" s="4" t="s">
        <v>156</v>
      </c>
      <c r="B9" s="5">
        <v>50</v>
      </c>
    </row>
    <row r="10" spans="1:2" x14ac:dyDescent="0.35">
      <c r="A10" s="4" t="s">
        <v>80</v>
      </c>
      <c r="B10" s="5">
        <v>75</v>
      </c>
    </row>
    <row r="11" spans="1:2" x14ac:dyDescent="0.35">
      <c r="A11" s="4" t="s">
        <v>214</v>
      </c>
      <c r="B11" s="5">
        <v>75</v>
      </c>
    </row>
    <row r="12" spans="1:2" x14ac:dyDescent="0.35">
      <c r="A12" s="4" t="s">
        <v>234</v>
      </c>
      <c r="B12" s="5">
        <v>40</v>
      </c>
    </row>
    <row r="13" spans="1:2" x14ac:dyDescent="0.35">
      <c r="A13" s="4" t="s">
        <v>162</v>
      </c>
      <c r="B13" s="5">
        <v>0</v>
      </c>
    </row>
    <row r="14" spans="1:2" x14ac:dyDescent="0.35">
      <c r="A14" s="4" t="s">
        <v>104</v>
      </c>
      <c r="B14" s="5">
        <v>50</v>
      </c>
    </row>
    <row r="15" spans="1:2" x14ac:dyDescent="0.35">
      <c r="A15" s="4" t="s">
        <v>42</v>
      </c>
      <c r="B15" s="5">
        <v>0</v>
      </c>
    </row>
    <row r="16" spans="1:2" x14ac:dyDescent="0.35">
      <c r="A16" s="4" t="s">
        <v>86</v>
      </c>
      <c r="B16" s="5">
        <v>10</v>
      </c>
    </row>
    <row r="17" spans="1:2" x14ac:dyDescent="0.35">
      <c r="A17" s="4" t="s">
        <v>22</v>
      </c>
      <c r="B17" s="5">
        <v>0</v>
      </c>
    </row>
    <row r="18" spans="1:2" x14ac:dyDescent="0.35">
      <c r="A18" s="4" t="s">
        <v>140</v>
      </c>
      <c r="B18" s="5">
        <v>10</v>
      </c>
    </row>
    <row r="19" spans="1:2" x14ac:dyDescent="0.35">
      <c r="A19" s="4" t="s">
        <v>246</v>
      </c>
      <c r="B19" s="5">
        <v>0</v>
      </c>
    </row>
    <row r="20" spans="1:2" x14ac:dyDescent="0.35">
      <c r="A20" s="4" t="s">
        <v>50</v>
      </c>
      <c r="B20" s="5">
        <v>10</v>
      </c>
    </row>
    <row r="21" spans="1:2" x14ac:dyDescent="0.35">
      <c r="A21" s="4" t="s">
        <v>102</v>
      </c>
      <c r="B21" s="5">
        <v>5</v>
      </c>
    </row>
    <row r="22" spans="1:2" x14ac:dyDescent="0.35">
      <c r="A22" s="4" t="s">
        <v>182</v>
      </c>
      <c r="B22" s="5">
        <v>0</v>
      </c>
    </row>
    <row r="23" spans="1:2" x14ac:dyDescent="0.35">
      <c r="A23" s="4" t="s">
        <v>138</v>
      </c>
      <c r="B23" s="5">
        <v>0</v>
      </c>
    </row>
    <row r="24" spans="1:2" x14ac:dyDescent="0.35">
      <c r="A24" s="4" t="s">
        <v>146</v>
      </c>
      <c r="B24" s="5">
        <v>35</v>
      </c>
    </row>
    <row r="25" spans="1:2" x14ac:dyDescent="0.35">
      <c r="A25" s="4" t="s">
        <v>132</v>
      </c>
      <c r="B25" s="5">
        <v>0</v>
      </c>
    </row>
    <row r="26" spans="1:2" x14ac:dyDescent="0.35">
      <c r="A26" s="4" t="s">
        <v>78</v>
      </c>
      <c r="B26" s="5">
        <v>30</v>
      </c>
    </row>
    <row r="27" spans="1:2" x14ac:dyDescent="0.35">
      <c r="A27" s="4" t="s">
        <v>136</v>
      </c>
      <c r="B27" s="5">
        <v>40</v>
      </c>
    </row>
    <row r="28" spans="1:2" x14ac:dyDescent="0.35">
      <c r="A28" s="4" t="s">
        <v>18</v>
      </c>
      <c r="B28" s="5">
        <v>25</v>
      </c>
    </row>
    <row r="29" spans="1:2" x14ac:dyDescent="0.35">
      <c r="A29" s="4" t="s">
        <v>96</v>
      </c>
      <c r="B29" s="5">
        <v>0</v>
      </c>
    </row>
    <row r="30" spans="1:2" x14ac:dyDescent="0.35">
      <c r="A30" s="4" t="s">
        <v>28</v>
      </c>
      <c r="B30" s="5">
        <v>75</v>
      </c>
    </row>
    <row r="31" spans="1:2" x14ac:dyDescent="0.35">
      <c r="A31" s="4" t="s">
        <v>106</v>
      </c>
      <c r="B31" s="5">
        <v>0</v>
      </c>
    </row>
    <row r="32" spans="1:2" x14ac:dyDescent="0.35">
      <c r="A32" s="4" t="s">
        <v>170</v>
      </c>
      <c r="B32" s="5">
        <v>50</v>
      </c>
    </row>
    <row r="33" spans="1:2" x14ac:dyDescent="0.35">
      <c r="A33" s="4" t="s">
        <v>38</v>
      </c>
      <c r="B33" s="5">
        <v>10</v>
      </c>
    </row>
    <row r="34" spans="1:2" x14ac:dyDescent="0.35">
      <c r="A34" s="4" t="s">
        <v>88</v>
      </c>
      <c r="B34" s="5">
        <v>50</v>
      </c>
    </row>
    <row r="35" spans="1:2" x14ac:dyDescent="0.35">
      <c r="A35" s="4" t="s">
        <v>114</v>
      </c>
      <c r="B35" s="5">
        <v>15</v>
      </c>
    </row>
    <row r="36" spans="1:2" x14ac:dyDescent="0.35">
      <c r="A36" s="4" t="s">
        <v>70</v>
      </c>
      <c r="B36" s="5">
        <v>30</v>
      </c>
    </row>
    <row r="37" spans="1:2" x14ac:dyDescent="0.35">
      <c r="A37" s="4" t="s">
        <v>124</v>
      </c>
      <c r="B37" s="5">
        <v>1</v>
      </c>
    </row>
    <row r="38" spans="1:2" x14ac:dyDescent="0.35">
      <c r="A38" s="4" t="s">
        <v>30</v>
      </c>
      <c r="B38" s="5">
        <v>20</v>
      </c>
    </row>
    <row r="39" spans="1:2" x14ac:dyDescent="0.35">
      <c r="A39" s="4" t="s">
        <v>240</v>
      </c>
      <c r="B39" s="5">
        <v>0</v>
      </c>
    </row>
    <row r="40" spans="1:2" x14ac:dyDescent="0.35">
      <c r="A40" s="4" t="s">
        <v>74</v>
      </c>
      <c r="B40" s="5">
        <v>0</v>
      </c>
    </row>
    <row r="41" spans="1:2" x14ac:dyDescent="0.35">
      <c r="A41" s="4" t="s">
        <v>206</v>
      </c>
      <c r="B41" s="5">
        <v>0</v>
      </c>
    </row>
    <row r="42" spans="1:2" x14ac:dyDescent="0.35">
      <c r="A42" s="4" t="s">
        <v>26</v>
      </c>
      <c r="B42" s="5">
        <v>0</v>
      </c>
    </row>
    <row r="43" spans="1:2" x14ac:dyDescent="0.35">
      <c r="A43" s="4" t="s">
        <v>154</v>
      </c>
      <c r="B43" s="5">
        <v>0</v>
      </c>
    </row>
    <row r="44" spans="1:2" x14ac:dyDescent="0.35">
      <c r="A44" s="4" t="s">
        <v>12</v>
      </c>
      <c r="B44" s="5">
        <v>75</v>
      </c>
    </row>
    <row r="45" spans="1:2" x14ac:dyDescent="0.35">
      <c r="A45" s="4" t="s">
        <v>126</v>
      </c>
      <c r="B45" s="5">
        <v>0</v>
      </c>
    </row>
    <row r="46" spans="1:2" x14ac:dyDescent="0.35">
      <c r="A46" s="4" t="s">
        <v>52</v>
      </c>
      <c r="B46" s="5">
        <v>0</v>
      </c>
    </row>
    <row r="47" spans="1:2" x14ac:dyDescent="0.35">
      <c r="A47" s="4" t="s">
        <v>164</v>
      </c>
      <c r="B47" s="5">
        <v>50</v>
      </c>
    </row>
    <row r="48" spans="1:2" x14ac:dyDescent="0.35">
      <c r="A48" s="4" t="s">
        <v>180</v>
      </c>
      <c r="B48" s="5">
        <v>65</v>
      </c>
    </row>
    <row r="49" spans="1:2" x14ac:dyDescent="0.35">
      <c r="A49" s="4" t="s">
        <v>210</v>
      </c>
      <c r="B49" s="5">
        <v>0</v>
      </c>
    </row>
    <row r="50" spans="1:2" x14ac:dyDescent="0.35">
      <c r="A50" s="4" t="s">
        <v>94</v>
      </c>
      <c r="B50" s="5">
        <v>0</v>
      </c>
    </row>
    <row r="51" spans="1:2" x14ac:dyDescent="0.35">
      <c r="A51" s="4" t="s">
        <v>66</v>
      </c>
      <c r="B51" s="5">
        <v>0</v>
      </c>
    </row>
    <row r="52" spans="1:2" x14ac:dyDescent="0.35">
      <c r="A52" s="4" t="s">
        <v>20</v>
      </c>
      <c r="B52" s="5">
        <v>70</v>
      </c>
    </row>
    <row r="53" spans="1:2" x14ac:dyDescent="0.35">
      <c r="A53" s="4" t="s">
        <v>110</v>
      </c>
      <c r="B53" s="5">
        <v>45</v>
      </c>
    </row>
    <row r="54" spans="1:2" x14ac:dyDescent="0.35">
      <c r="A54" s="4" t="s">
        <v>122</v>
      </c>
      <c r="B54" s="5">
        <v>0</v>
      </c>
    </row>
    <row r="55" spans="1:2" x14ac:dyDescent="0.35">
      <c r="A55" s="4" t="s">
        <v>92</v>
      </c>
      <c r="B55" s="5">
        <v>10</v>
      </c>
    </row>
    <row r="56" spans="1:2" x14ac:dyDescent="0.35">
      <c r="A56" s="4" t="s">
        <v>168</v>
      </c>
      <c r="B56" s="5">
        <v>0</v>
      </c>
    </row>
    <row r="57" spans="1:2" x14ac:dyDescent="0.35">
      <c r="A57" s="4" t="s">
        <v>44</v>
      </c>
      <c r="B57" s="5">
        <v>10</v>
      </c>
    </row>
    <row r="58" spans="1:2" x14ac:dyDescent="0.35">
      <c r="A58" s="4" t="s">
        <v>82</v>
      </c>
      <c r="B58" s="5">
        <v>0</v>
      </c>
    </row>
    <row r="59" spans="1:2" x14ac:dyDescent="0.35">
      <c r="A59" s="4" t="s">
        <v>226</v>
      </c>
      <c r="B59" s="5">
        <v>40</v>
      </c>
    </row>
    <row r="60" spans="1:2" x14ac:dyDescent="0.35">
      <c r="A60" s="4" t="s">
        <v>188</v>
      </c>
      <c r="B60" s="5">
        <v>10</v>
      </c>
    </row>
    <row r="61" spans="1:2" x14ac:dyDescent="0.35">
      <c r="A61" s="4" t="s">
        <v>32</v>
      </c>
      <c r="B61" s="5">
        <v>50</v>
      </c>
    </row>
    <row r="62" spans="1:2" x14ac:dyDescent="0.35">
      <c r="A62" s="4" t="s">
        <v>144</v>
      </c>
      <c r="B62" s="5">
        <v>25</v>
      </c>
    </row>
    <row r="63" spans="1:2" x14ac:dyDescent="0.35">
      <c r="A63" s="4" t="s">
        <v>196</v>
      </c>
      <c r="B63" s="5">
        <v>75</v>
      </c>
    </row>
    <row r="64" spans="1:2" x14ac:dyDescent="0.35">
      <c r="A64" s="4" t="s">
        <v>56</v>
      </c>
      <c r="B64" s="5">
        <v>50</v>
      </c>
    </row>
    <row r="65" spans="1:2" x14ac:dyDescent="0.35">
      <c r="A65" s="4" t="s">
        <v>54</v>
      </c>
      <c r="B65" s="5">
        <v>0</v>
      </c>
    </row>
    <row r="66" spans="1:2" x14ac:dyDescent="0.35">
      <c r="A66" s="4" t="s">
        <v>192</v>
      </c>
      <c r="B66" s="5">
        <v>0</v>
      </c>
    </row>
    <row r="67" spans="1:2" x14ac:dyDescent="0.35">
      <c r="A67" s="4" t="s">
        <v>128</v>
      </c>
      <c r="B67" s="5">
        <v>0</v>
      </c>
    </row>
    <row r="68" spans="1:2" x14ac:dyDescent="0.35">
      <c r="A68" s="4" t="s">
        <v>242</v>
      </c>
      <c r="B68" s="5">
        <v>40</v>
      </c>
    </row>
    <row r="69" spans="1:2" x14ac:dyDescent="0.35">
      <c r="A69" s="4" t="s">
        <v>108</v>
      </c>
      <c r="B69" s="5">
        <v>75</v>
      </c>
    </row>
    <row r="70" spans="1:2" x14ac:dyDescent="0.35">
      <c r="A70" s="4" t="s">
        <v>130</v>
      </c>
      <c r="B70" s="5">
        <v>60</v>
      </c>
    </row>
    <row r="71" spans="1:2" x14ac:dyDescent="0.35">
      <c r="A71" s="4" t="s">
        <v>134</v>
      </c>
      <c r="B71" s="5">
        <v>0</v>
      </c>
    </row>
    <row r="72" spans="1:2" x14ac:dyDescent="0.35">
      <c r="A72" s="4" t="s">
        <v>68</v>
      </c>
      <c r="B72" s="5">
        <v>25</v>
      </c>
    </row>
    <row r="73" spans="1:2" x14ac:dyDescent="0.35">
      <c r="A73" s="4" t="s">
        <v>152</v>
      </c>
      <c r="B73" s="5">
        <v>0</v>
      </c>
    </row>
    <row r="74" spans="1:2" x14ac:dyDescent="0.35">
      <c r="A74" s="4" t="s">
        <v>46</v>
      </c>
      <c r="B74" s="5">
        <v>50</v>
      </c>
    </row>
    <row r="75" spans="1:2" x14ac:dyDescent="0.35">
      <c r="A75" s="4" t="s">
        <v>84</v>
      </c>
      <c r="B75" s="5">
        <v>40</v>
      </c>
    </row>
    <row r="76" spans="1:2" x14ac:dyDescent="0.35">
      <c r="A76" s="4" t="s">
        <v>160</v>
      </c>
      <c r="B76" s="5">
        <v>0</v>
      </c>
    </row>
    <row r="77" spans="1:2" x14ac:dyDescent="0.35">
      <c r="A77" s="4" t="s">
        <v>148</v>
      </c>
      <c r="B77" s="5">
        <v>60</v>
      </c>
    </row>
    <row r="78" spans="1:2" x14ac:dyDescent="0.35">
      <c r="A78" s="4" t="s">
        <v>190</v>
      </c>
      <c r="B78" s="5">
        <v>10</v>
      </c>
    </row>
    <row r="79" spans="1:2" x14ac:dyDescent="0.35">
      <c r="A79" s="4" t="s">
        <v>176</v>
      </c>
      <c r="B79" s="5">
        <v>50</v>
      </c>
    </row>
    <row r="80" spans="1:2" x14ac:dyDescent="0.35">
      <c r="A80" s="4" t="s">
        <v>34</v>
      </c>
      <c r="B80" s="5">
        <v>0</v>
      </c>
    </row>
    <row r="81" spans="1:2" x14ac:dyDescent="0.35">
      <c r="A81" s="4" t="s">
        <v>238</v>
      </c>
      <c r="B81" s="5">
        <v>0</v>
      </c>
    </row>
    <row r="82" spans="1:2" x14ac:dyDescent="0.35">
      <c r="A82" s="4" t="s">
        <v>48</v>
      </c>
      <c r="B82" s="5">
        <v>0</v>
      </c>
    </row>
    <row r="83" spans="1:2" x14ac:dyDescent="0.35">
      <c r="A83" s="4" t="s">
        <v>172</v>
      </c>
      <c r="B83" s="5">
        <v>10</v>
      </c>
    </row>
    <row r="84" spans="1:2" x14ac:dyDescent="0.35">
      <c r="A84" s="4" t="s">
        <v>202</v>
      </c>
      <c r="B84" s="5">
        <v>0</v>
      </c>
    </row>
    <row r="85" spans="1:2" x14ac:dyDescent="0.35">
      <c r="A85" s="4" t="s">
        <v>224</v>
      </c>
      <c r="B85" s="5">
        <v>0</v>
      </c>
    </row>
    <row r="86" spans="1:2" x14ac:dyDescent="0.35">
      <c r="A86" s="4" t="s">
        <v>118</v>
      </c>
      <c r="B86" s="5">
        <v>80</v>
      </c>
    </row>
    <row r="87" spans="1:2" x14ac:dyDescent="0.35">
      <c r="A87" s="4" t="s">
        <v>116</v>
      </c>
      <c r="B87" s="5">
        <v>0</v>
      </c>
    </row>
    <row r="88" spans="1:2" x14ac:dyDescent="0.35">
      <c r="A88" s="4" t="s">
        <v>58</v>
      </c>
      <c r="B88" s="5">
        <v>56</v>
      </c>
    </row>
    <row r="89" spans="1:2" x14ac:dyDescent="0.35">
      <c r="A89" s="4" t="s">
        <v>218</v>
      </c>
      <c r="B89" s="5">
        <v>0</v>
      </c>
    </row>
    <row r="90" spans="1:2" x14ac:dyDescent="0.35">
      <c r="A90" s="4" t="s">
        <v>16</v>
      </c>
      <c r="B90" s="5">
        <v>40</v>
      </c>
    </row>
    <row r="91" spans="1:2" x14ac:dyDescent="0.35">
      <c r="A91" s="4" t="s">
        <v>40</v>
      </c>
      <c r="B91" s="5">
        <v>0</v>
      </c>
    </row>
    <row r="92" spans="1:2" x14ac:dyDescent="0.35">
      <c r="A92" s="4" t="s">
        <v>236</v>
      </c>
      <c r="B92" s="5">
        <v>0</v>
      </c>
    </row>
    <row r="93" spans="1:2" x14ac:dyDescent="0.35">
      <c r="A93" s="4" t="s">
        <v>222</v>
      </c>
      <c r="B93" s="5">
        <v>50</v>
      </c>
    </row>
    <row r="94" spans="1:2" x14ac:dyDescent="0.35">
      <c r="A94" s="4" t="s">
        <v>174</v>
      </c>
      <c r="B94" s="5">
        <v>0</v>
      </c>
    </row>
    <row r="95" spans="1:2" x14ac:dyDescent="0.35">
      <c r="A95" s="4" t="s">
        <v>100</v>
      </c>
      <c r="B95" s="5">
        <v>25</v>
      </c>
    </row>
    <row r="96" spans="1:2" x14ac:dyDescent="0.35">
      <c r="A96" s="4" t="s">
        <v>208</v>
      </c>
      <c r="B96" s="5">
        <v>0</v>
      </c>
    </row>
    <row r="97" spans="1:2" x14ac:dyDescent="0.35">
      <c r="A97" s="4" t="s">
        <v>98</v>
      </c>
      <c r="B97" s="5">
        <v>10</v>
      </c>
    </row>
    <row r="98" spans="1:2" x14ac:dyDescent="0.35">
      <c r="A98" s="4" t="s">
        <v>60</v>
      </c>
      <c r="B98" s="5">
        <v>30</v>
      </c>
    </row>
    <row r="99" spans="1:2" x14ac:dyDescent="0.35">
      <c r="A99" s="4" t="s">
        <v>62</v>
      </c>
      <c r="B99" s="5">
        <v>50</v>
      </c>
    </row>
    <row r="100" spans="1:2" x14ac:dyDescent="0.35">
      <c r="A100" s="4" t="s">
        <v>216</v>
      </c>
      <c r="B100" s="5">
        <v>0</v>
      </c>
    </row>
    <row r="101" spans="1:2" x14ac:dyDescent="0.35">
      <c r="A101" s="4" t="s">
        <v>112</v>
      </c>
      <c r="B101" s="5">
        <v>50</v>
      </c>
    </row>
    <row r="102" spans="1:2" x14ac:dyDescent="0.35">
      <c r="A102" s="4" t="s">
        <v>230</v>
      </c>
      <c r="B102" s="5">
        <v>60</v>
      </c>
    </row>
    <row r="103" spans="1:2" x14ac:dyDescent="0.35">
      <c r="A103" s="4" t="s">
        <v>198</v>
      </c>
      <c r="B103" s="5">
        <v>0</v>
      </c>
    </row>
    <row r="104" spans="1:2" x14ac:dyDescent="0.35">
      <c r="A104" s="4" t="s">
        <v>200</v>
      </c>
      <c r="B104" s="5">
        <v>0</v>
      </c>
    </row>
    <row r="105" spans="1:2" x14ac:dyDescent="0.35">
      <c r="A105" s="4" t="s">
        <v>158</v>
      </c>
      <c r="B105" s="5">
        <v>0</v>
      </c>
    </row>
    <row r="106" spans="1:2" x14ac:dyDescent="0.35">
      <c r="A106" s="4" t="s">
        <v>72</v>
      </c>
      <c r="B106" s="5">
        <v>30</v>
      </c>
    </row>
    <row r="107" spans="1:2" x14ac:dyDescent="0.35">
      <c r="A107" s="4" t="s">
        <v>142</v>
      </c>
      <c r="B107" s="5">
        <v>10</v>
      </c>
    </row>
    <row r="108" spans="1:2" x14ac:dyDescent="0.35">
      <c r="A108" s="4" t="s">
        <v>220</v>
      </c>
      <c r="B108" s="5">
        <v>0</v>
      </c>
    </row>
    <row r="109" spans="1:2" x14ac:dyDescent="0.35">
      <c r="A109" s="4" t="s">
        <v>120</v>
      </c>
      <c r="B109" s="5">
        <v>0</v>
      </c>
    </row>
    <row r="110" spans="1:2" x14ac:dyDescent="0.35">
      <c r="A110" s="4" t="s">
        <v>150</v>
      </c>
      <c r="B110" s="5">
        <v>0</v>
      </c>
    </row>
    <row r="111" spans="1:2" x14ac:dyDescent="0.35">
      <c r="A111" s="4" t="s">
        <v>24</v>
      </c>
      <c r="B111" s="5">
        <v>0</v>
      </c>
    </row>
    <row r="112" spans="1:2" x14ac:dyDescent="0.35">
      <c r="A112" s="4" t="s">
        <v>36</v>
      </c>
      <c r="B112" s="5">
        <v>75</v>
      </c>
    </row>
    <row r="113" spans="1:2" x14ac:dyDescent="0.35">
      <c r="A113" s="4" t="s">
        <v>228</v>
      </c>
      <c r="B113" s="5">
        <v>0</v>
      </c>
    </row>
    <row r="114" spans="1:2" x14ac:dyDescent="0.35">
      <c r="A114" s="4" t="s">
        <v>212</v>
      </c>
      <c r="B114" s="5">
        <v>0</v>
      </c>
    </row>
    <row r="115" spans="1:2" x14ac:dyDescent="0.35">
      <c r="A115" s="4" t="s">
        <v>184</v>
      </c>
      <c r="B115" s="5">
        <v>10</v>
      </c>
    </row>
    <row r="116" spans="1:2" x14ac:dyDescent="0.35">
      <c r="A116" s="4" t="s">
        <v>232</v>
      </c>
      <c r="B116" s="5">
        <v>10</v>
      </c>
    </row>
    <row r="117" spans="1:2" x14ac:dyDescent="0.35">
      <c r="A117" s="4" t="s">
        <v>76</v>
      </c>
      <c r="B117" s="5">
        <v>50</v>
      </c>
    </row>
    <row r="118" spans="1:2" x14ac:dyDescent="0.35">
      <c r="A118" s="4" t="s">
        <v>244</v>
      </c>
      <c r="B118" s="5">
        <v>0</v>
      </c>
    </row>
    <row r="119" spans="1:2" x14ac:dyDescent="0.35">
      <c r="A119" s="4" t="s">
        <v>64</v>
      </c>
      <c r="B119" s="5">
        <v>50</v>
      </c>
    </row>
    <row r="120" spans="1:2" x14ac:dyDescent="0.35">
      <c r="A120" s="4" t="s">
        <v>90</v>
      </c>
      <c r="B120" s="5">
        <v>10</v>
      </c>
    </row>
    <row r="121" spans="1:2" x14ac:dyDescent="0.35">
      <c r="A121" s="4" t="s">
        <v>249</v>
      </c>
      <c r="B121" s="5">
        <v>2537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B26F-D68B-49EA-8E0E-DDF682A19EF1}">
  <dimension ref="A3:E4"/>
  <sheetViews>
    <sheetView workbookViewId="0">
      <selection activeCell="B20" sqref="B19:B20"/>
    </sheetView>
  </sheetViews>
  <sheetFormatPr defaultRowHeight="14.5" x14ac:dyDescent="0.35"/>
  <cols>
    <col min="1" max="1" width="14.7265625" bestFit="1" customWidth="1"/>
    <col min="2" max="2" width="15.36328125" bestFit="1" customWidth="1"/>
    <col min="3" max="3" width="14.453125" bestFit="1" customWidth="1"/>
    <col min="4" max="4" width="13.1796875" bestFit="1" customWidth="1"/>
    <col min="5" max="5" width="15.1796875" bestFit="1" customWidth="1"/>
  </cols>
  <sheetData>
    <row r="3" spans="1:5" x14ac:dyDescent="0.35">
      <c r="A3" t="s">
        <v>258</v>
      </c>
      <c r="B3" t="s">
        <v>255</v>
      </c>
      <c r="C3" t="s">
        <v>257</v>
      </c>
      <c r="D3" t="s">
        <v>256</v>
      </c>
      <c r="E3" t="s">
        <v>254</v>
      </c>
    </row>
    <row r="4" spans="1:5" x14ac:dyDescent="0.35">
      <c r="A4" s="5">
        <v>117</v>
      </c>
      <c r="B4" s="5">
        <v>117</v>
      </c>
      <c r="C4" s="5">
        <v>117</v>
      </c>
      <c r="D4" s="5">
        <v>117</v>
      </c>
      <c r="E4" s="5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07A4-41C0-445D-90AD-8E37AC1BF561}">
  <dimension ref="A3:B5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13.26953125" bestFit="1" customWidth="1"/>
  </cols>
  <sheetData>
    <row r="3" spans="1:2" x14ac:dyDescent="0.35">
      <c r="A3" s="3" t="s">
        <v>248</v>
      </c>
      <c r="B3" t="s">
        <v>260</v>
      </c>
    </row>
    <row r="4" spans="1:2" x14ac:dyDescent="0.35">
      <c r="A4" s="4" t="s">
        <v>259</v>
      </c>
      <c r="B4" s="5">
        <v>117</v>
      </c>
    </row>
    <row r="5" spans="1:2" x14ac:dyDescent="0.35">
      <c r="A5" s="4" t="s">
        <v>249</v>
      </c>
      <c r="B5" s="5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3681-0D1A-4F9F-B5E9-B50FD42C1AEB}">
  <dimension ref="A1:N118"/>
  <sheetViews>
    <sheetView tabSelected="1" zoomScale="85" zoomScaleNormal="25" workbookViewId="0">
      <selection activeCell="G7" sqref="G7"/>
    </sheetView>
  </sheetViews>
  <sheetFormatPr defaultRowHeight="14.5" x14ac:dyDescent="0.35"/>
  <cols>
    <col min="1" max="1" width="13.7265625" customWidth="1"/>
    <col min="2" max="2" width="11.90625" customWidth="1"/>
    <col min="3" max="3" width="23.26953125" customWidth="1"/>
    <col min="4" max="4" width="35.1796875" customWidth="1"/>
    <col min="5" max="5" width="15.26953125" customWidth="1"/>
    <col min="6" max="6" width="15.7265625" bestFit="1" customWidth="1"/>
    <col min="7" max="7" width="6.7265625" customWidth="1"/>
    <col min="8" max="8" width="7.1796875" customWidth="1"/>
    <col min="9" max="9" width="7.54296875" customWidth="1"/>
    <col min="10" max="10" width="6.90625" customWidth="1"/>
    <col min="11" max="11" width="6.6328125" customWidth="1"/>
    <col min="12" max="13" width="7" customWidth="1"/>
    <col min="14" max="14" width="13.08984375" customWidth="1"/>
    <col min="15" max="15" width="15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247</v>
      </c>
      <c r="E1" t="s">
        <v>252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251</v>
      </c>
    </row>
    <row r="2" spans="1:14" x14ac:dyDescent="0.35">
      <c r="A2">
        <v>1</v>
      </c>
      <c r="B2">
        <v>1</v>
      </c>
      <c r="C2" t="s">
        <v>11</v>
      </c>
      <c r="D2" t="s">
        <v>12</v>
      </c>
      <c r="E2">
        <v>75</v>
      </c>
      <c r="F2">
        <v>0</v>
      </c>
      <c r="G2" s="1">
        <v>0.18</v>
      </c>
      <c r="H2" t="s">
        <v>13</v>
      </c>
      <c r="I2" t="s">
        <v>14</v>
      </c>
      <c r="J2" t="s">
        <v>13</v>
      </c>
      <c r="K2" t="s">
        <v>14</v>
      </c>
      <c r="L2" t="s">
        <v>14</v>
      </c>
      <c r="M2">
        <v>1</v>
      </c>
      <c r="N2" t="str">
        <f>IF(C2&gt;0,"Yes","No")</f>
        <v>Yes</v>
      </c>
    </row>
    <row r="3" spans="1:14" x14ac:dyDescent="0.35">
      <c r="A3">
        <v>1</v>
      </c>
      <c r="B3">
        <v>2</v>
      </c>
      <c r="C3" t="s">
        <v>15</v>
      </c>
      <c r="D3" t="s">
        <v>16</v>
      </c>
      <c r="E3">
        <v>40</v>
      </c>
      <c r="F3">
        <v>0</v>
      </c>
      <c r="G3" s="1">
        <v>0.5</v>
      </c>
      <c r="H3" t="s">
        <v>13</v>
      </c>
      <c r="I3" t="s">
        <v>14</v>
      </c>
      <c r="J3" t="s">
        <v>13</v>
      </c>
      <c r="K3" t="s">
        <v>13</v>
      </c>
      <c r="L3" t="s">
        <v>14</v>
      </c>
      <c r="M3">
        <v>1</v>
      </c>
      <c r="N3" t="str">
        <f t="shared" ref="N3:N66" si="0">IF(C3&gt;0,"Yes","No")</f>
        <v>Yes</v>
      </c>
    </row>
    <row r="4" spans="1:14" x14ac:dyDescent="0.35">
      <c r="A4">
        <v>1</v>
      </c>
      <c r="B4">
        <v>3</v>
      </c>
      <c r="C4" t="s">
        <v>17</v>
      </c>
      <c r="D4" t="s">
        <v>18</v>
      </c>
      <c r="E4">
        <v>25</v>
      </c>
      <c r="F4">
        <v>0</v>
      </c>
      <c r="G4" s="1">
        <v>0.3</v>
      </c>
      <c r="H4" t="s">
        <v>14</v>
      </c>
      <c r="I4" t="s">
        <v>13</v>
      </c>
      <c r="J4" t="s">
        <v>13</v>
      </c>
      <c r="K4" t="s">
        <v>13</v>
      </c>
      <c r="L4" t="s">
        <v>14</v>
      </c>
      <c r="M4">
        <v>1</v>
      </c>
      <c r="N4" t="str">
        <f t="shared" si="0"/>
        <v>Yes</v>
      </c>
    </row>
    <row r="5" spans="1:14" x14ac:dyDescent="0.35">
      <c r="A5">
        <v>2</v>
      </c>
      <c r="B5">
        <v>4</v>
      </c>
      <c r="C5" t="s">
        <v>19</v>
      </c>
      <c r="D5" t="s">
        <v>20</v>
      </c>
      <c r="E5">
        <v>70</v>
      </c>
      <c r="F5">
        <v>0</v>
      </c>
      <c r="G5" s="2">
        <v>2.75E-2</v>
      </c>
      <c r="H5" t="s">
        <v>13</v>
      </c>
      <c r="I5" t="s">
        <v>14</v>
      </c>
      <c r="J5" t="s">
        <v>13</v>
      </c>
      <c r="K5" t="s">
        <v>13</v>
      </c>
      <c r="L5" t="s">
        <v>13</v>
      </c>
      <c r="M5">
        <v>1</v>
      </c>
      <c r="N5" t="str">
        <f t="shared" si="0"/>
        <v>Yes</v>
      </c>
    </row>
    <row r="6" spans="1:14" x14ac:dyDescent="0.35">
      <c r="A6">
        <v>2</v>
      </c>
      <c r="B6">
        <v>5</v>
      </c>
      <c r="C6" t="s">
        <v>21</v>
      </c>
      <c r="D6" t="s">
        <v>22</v>
      </c>
      <c r="E6">
        <v>0</v>
      </c>
      <c r="F6">
        <v>0</v>
      </c>
      <c r="G6">
        <v>0</v>
      </c>
      <c r="H6" t="s">
        <v>13</v>
      </c>
      <c r="I6" t="s">
        <v>13</v>
      </c>
      <c r="J6" t="s">
        <v>13</v>
      </c>
      <c r="K6" t="s">
        <v>13</v>
      </c>
      <c r="L6" t="s">
        <v>13</v>
      </c>
      <c r="M6">
        <v>1</v>
      </c>
      <c r="N6" t="str">
        <f t="shared" si="0"/>
        <v>Yes</v>
      </c>
    </row>
    <row r="7" spans="1:14" x14ac:dyDescent="0.35">
      <c r="A7">
        <v>2</v>
      </c>
      <c r="B7">
        <v>6</v>
      </c>
      <c r="C7" t="s">
        <v>23</v>
      </c>
      <c r="D7" t="s">
        <v>24</v>
      </c>
      <c r="E7">
        <v>0</v>
      </c>
      <c r="F7">
        <v>0</v>
      </c>
      <c r="G7">
        <v>0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>
        <v>1</v>
      </c>
      <c r="N7" t="str">
        <f t="shared" si="0"/>
        <v>Yes</v>
      </c>
    </row>
    <row r="8" spans="1:14" x14ac:dyDescent="0.35">
      <c r="A8">
        <v>3</v>
      </c>
      <c r="B8">
        <v>7</v>
      </c>
      <c r="C8" t="s">
        <v>25</v>
      </c>
      <c r="D8" t="s">
        <v>26</v>
      </c>
      <c r="E8">
        <v>0</v>
      </c>
      <c r="F8">
        <v>0</v>
      </c>
      <c r="G8">
        <v>0</v>
      </c>
      <c r="H8" t="s">
        <v>13</v>
      </c>
      <c r="I8" t="s">
        <v>13</v>
      </c>
      <c r="J8" t="s">
        <v>13</v>
      </c>
      <c r="K8" t="s">
        <v>13</v>
      </c>
      <c r="L8" t="s">
        <v>13</v>
      </c>
      <c r="M8">
        <v>1</v>
      </c>
      <c r="N8" t="str">
        <f t="shared" si="0"/>
        <v>Yes</v>
      </c>
    </row>
    <row r="9" spans="1:14" x14ac:dyDescent="0.35">
      <c r="A9">
        <v>3</v>
      </c>
      <c r="B9">
        <v>8</v>
      </c>
      <c r="C9" t="s">
        <v>27</v>
      </c>
      <c r="D9" t="s">
        <v>28</v>
      </c>
      <c r="E9">
        <v>75</v>
      </c>
      <c r="F9">
        <v>0</v>
      </c>
      <c r="G9" s="1">
        <v>0.06</v>
      </c>
      <c r="H9" t="s">
        <v>13</v>
      </c>
      <c r="I9" t="s">
        <v>13</v>
      </c>
      <c r="J9" t="s">
        <v>13</v>
      </c>
      <c r="K9" t="s">
        <v>14</v>
      </c>
      <c r="L9" t="s">
        <v>13</v>
      </c>
      <c r="M9">
        <v>1</v>
      </c>
      <c r="N9" t="str">
        <f t="shared" si="0"/>
        <v>Yes</v>
      </c>
    </row>
    <row r="10" spans="1:14" x14ac:dyDescent="0.35">
      <c r="A10">
        <v>3</v>
      </c>
      <c r="B10">
        <v>9</v>
      </c>
      <c r="C10" t="s">
        <v>29</v>
      </c>
      <c r="D10" t="s">
        <v>30</v>
      </c>
      <c r="E10">
        <v>20</v>
      </c>
      <c r="F10">
        <v>30</v>
      </c>
      <c r="G10" s="1">
        <v>0.15</v>
      </c>
      <c r="H10" t="s">
        <v>13</v>
      </c>
      <c r="I10" t="s">
        <v>13</v>
      </c>
      <c r="J10" t="s">
        <v>13</v>
      </c>
      <c r="K10" t="s">
        <v>13</v>
      </c>
      <c r="L10" t="s">
        <v>14</v>
      </c>
      <c r="M10">
        <v>1</v>
      </c>
      <c r="N10" t="str">
        <f t="shared" si="0"/>
        <v>Yes</v>
      </c>
    </row>
    <row r="11" spans="1:14" x14ac:dyDescent="0.35">
      <c r="A11">
        <v>4</v>
      </c>
      <c r="B11">
        <v>10</v>
      </c>
      <c r="C11" t="s">
        <v>31</v>
      </c>
      <c r="D11" t="s">
        <v>32</v>
      </c>
      <c r="E11">
        <v>50</v>
      </c>
      <c r="F11">
        <v>0</v>
      </c>
      <c r="G11" s="1">
        <v>0.25</v>
      </c>
      <c r="H11" t="s">
        <v>14</v>
      </c>
      <c r="I11" t="s">
        <v>13</v>
      </c>
      <c r="J11" t="s">
        <v>13</v>
      </c>
      <c r="K11" t="s">
        <v>13</v>
      </c>
      <c r="L11" t="s">
        <v>14</v>
      </c>
      <c r="M11">
        <v>1</v>
      </c>
      <c r="N11" t="str">
        <f t="shared" si="0"/>
        <v>Yes</v>
      </c>
    </row>
    <row r="12" spans="1:14" x14ac:dyDescent="0.35">
      <c r="A12">
        <v>4</v>
      </c>
      <c r="B12">
        <v>11</v>
      </c>
      <c r="C12" t="s">
        <v>33</v>
      </c>
      <c r="D12" t="s">
        <v>34</v>
      </c>
      <c r="E12">
        <v>0</v>
      </c>
      <c r="F12">
        <v>0</v>
      </c>
      <c r="G12">
        <v>0</v>
      </c>
      <c r="H12" t="s">
        <v>13</v>
      </c>
      <c r="I12" t="s">
        <v>13</v>
      </c>
      <c r="J12" t="s">
        <v>13</v>
      </c>
      <c r="K12" t="s">
        <v>13</v>
      </c>
      <c r="L12" t="s">
        <v>13</v>
      </c>
      <c r="M12">
        <v>1</v>
      </c>
      <c r="N12" t="str">
        <f t="shared" si="0"/>
        <v>Yes</v>
      </c>
    </row>
    <row r="13" spans="1:14" x14ac:dyDescent="0.35">
      <c r="A13">
        <v>4</v>
      </c>
      <c r="B13">
        <v>12</v>
      </c>
      <c r="C13" t="s">
        <v>35</v>
      </c>
      <c r="D13" t="s">
        <v>36</v>
      </c>
      <c r="E13">
        <v>75</v>
      </c>
      <c r="F13">
        <v>0</v>
      </c>
      <c r="G13" s="2">
        <v>7.4999999999999997E-2</v>
      </c>
      <c r="H13" t="s">
        <v>13</v>
      </c>
      <c r="I13" t="s">
        <v>13</v>
      </c>
      <c r="J13" t="s">
        <v>14</v>
      </c>
      <c r="K13" t="s">
        <v>14</v>
      </c>
      <c r="L13" t="s">
        <v>13</v>
      </c>
      <c r="M13">
        <v>1</v>
      </c>
      <c r="N13" t="str">
        <f t="shared" si="0"/>
        <v>Yes</v>
      </c>
    </row>
    <row r="14" spans="1:14" x14ac:dyDescent="0.35">
      <c r="A14">
        <v>5</v>
      </c>
      <c r="B14">
        <v>13</v>
      </c>
      <c r="C14" t="s">
        <v>37</v>
      </c>
      <c r="D14" t="s">
        <v>38</v>
      </c>
      <c r="E14">
        <v>10</v>
      </c>
      <c r="F14">
        <v>0</v>
      </c>
      <c r="G14" s="2">
        <v>1.4999999999999999E-2</v>
      </c>
      <c r="H14" t="s">
        <v>14</v>
      </c>
      <c r="I14" t="s">
        <v>13</v>
      </c>
      <c r="J14" t="s">
        <v>13</v>
      </c>
      <c r="K14" t="s">
        <v>14</v>
      </c>
      <c r="L14" t="s">
        <v>13</v>
      </c>
      <c r="M14">
        <v>1</v>
      </c>
      <c r="N14" t="str">
        <f t="shared" si="0"/>
        <v>Yes</v>
      </c>
    </row>
    <row r="15" spans="1:14" x14ac:dyDescent="0.35">
      <c r="A15">
        <v>5</v>
      </c>
      <c r="B15">
        <v>14</v>
      </c>
      <c r="C15" t="s">
        <v>39</v>
      </c>
      <c r="D15" t="s">
        <v>40</v>
      </c>
      <c r="E15">
        <v>0</v>
      </c>
      <c r="F15">
        <v>0</v>
      </c>
      <c r="G15">
        <v>0</v>
      </c>
      <c r="H15" t="s">
        <v>13</v>
      </c>
      <c r="I15" t="s">
        <v>13</v>
      </c>
      <c r="J15" t="s">
        <v>13</v>
      </c>
      <c r="K15" t="s">
        <v>13</v>
      </c>
      <c r="L15" t="s">
        <v>13</v>
      </c>
      <c r="M15">
        <v>1</v>
      </c>
      <c r="N15" t="str">
        <f t="shared" si="0"/>
        <v>Yes</v>
      </c>
    </row>
    <row r="16" spans="1:14" x14ac:dyDescent="0.35">
      <c r="A16">
        <v>5</v>
      </c>
      <c r="B16">
        <v>15</v>
      </c>
      <c r="C16" t="s">
        <v>41</v>
      </c>
      <c r="D16" t="s">
        <v>42</v>
      </c>
      <c r="E16">
        <v>0</v>
      </c>
      <c r="F16">
        <v>0</v>
      </c>
      <c r="G16">
        <v>0</v>
      </c>
      <c r="H16" t="s">
        <v>13</v>
      </c>
      <c r="I16" t="s">
        <v>13</v>
      </c>
      <c r="J16" t="s">
        <v>13</v>
      </c>
      <c r="K16" t="s">
        <v>13</v>
      </c>
      <c r="L16" t="s">
        <v>13</v>
      </c>
      <c r="M16">
        <v>1</v>
      </c>
      <c r="N16" t="str">
        <f t="shared" si="0"/>
        <v>Yes</v>
      </c>
    </row>
    <row r="17" spans="1:14" x14ac:dyDescent="0.35">
      <c r="A17">
        <v>6</v>
      </c>
      <c r="B17">
        <v>16</v>
      </c>
      <c r="C17" t="s">
        <v>43</v>
      </c>
      <c r="D17" t="s">
        <v>44</v>
      </c>
      <c r="E17">
        <v>10</v>
      </c>
      <c r="F17">
        <v>0</v>
      </c>
      <c r="G17" s="1">
        <v>0.15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>
        <v>1</v>
      </c>
      <c r="N17" t="str">
        <f t="shared" si="0"/>
        <v>Yes</v>
      </c>
    </row>
    <row r="18" spans="1:14" x14ac:dyDescent="0.35">
      <c r="A18">
        <v>6</v>
      </c>
      <c r="B18">
        <v>17</v>
      </c>
      <c r="C18" t="s">
        <v>45</v>
      </c>
      <c r="D18" t="s">
        <v>46</v>
      </c>
      <c r="E18">
        <v>50</v>
      </c>
      <c r="F18">
        <v>0</v>
      </c>
      <c r="G18" s="1">
        <v>0.2</v>
      </c>
      <c r="H18" t="s">
        <v>13</v>
      </c>
      <c r="I18" t="s">
        <v>13</v>
      </c>
      <c r="J18" t="s">
        <v>14</v>
      </c>
      <c r="K18" t="s">
        <v>13</v>
      </c>
      <c r="L18" t="s">
        <v>13</v>
      </c>
      <c r="M18">
        <v>1</v>
      </c>
      <c r="N18" t="str">
        <f t="shared" si="0"/>
        <v>Yes</v>
      </c>
    </row>
    <row r="19" spans="1:14" x14ac:dyDescent="0.35">
      <c r="A19">
        <v>6</v>
      </c>
      <c r="B19">
        <v>18</v>
      </c>
      <c r="C19" t="s">
        <v>47</v>
      </c>
      <c r="D19" t="s">
        <v>48</v>
      </c>
      <c r="E19">
        <v>0</v>
      </c>
      <c r="F19">
        <v>0</v>
      </c>
      <c r="G19">
        <v>0</v>
      </c>
      <c r="H19" t="s">
        <v>13</v>
      </c>
      <c r="I19" t="s">
        <v>13</v>
      </c>
      <c r="J19" t="s">
        <v>13</v>
      </c>
      <c r="K19" t="s">
        <v>13</v>
      </c>
      <c r="L19" t="s">
        <v>13</v>
      </c>
      <c r="M19">
        <v>1</v>
      </c>
      <c r="N19" t="str">
        <f t="shared" si="0"/>
        <v>Yes</v>
      </c>
    </row>
    <row r="20" spans="1:14" x14ac:dyDescent="0.35">
      <c r="A20">
        <v>7</v>
      </c>
      <c r="B20">
        <v>19</v>
      </c>
      <c r="C20" t="s">
        <v>49</v>
      </c>
      <c r="D20" t="s">
        <v>50</v>
      </c>
      <c r="E20">
        <v>10</v>
      </c>
      <c r="F20">
        <v>0</v>
      </c>
      <c r="G20" s="1">
        <v>0.04</v>
      </c>
      <c r="H20" t="s">
        <v>13</v>
      </c>
      <c r="I20" t="s">
        <v>14</v>
      </c>
      <c r="J20" t="s">
        <v>13</v>
      </c>
      <c r="K20" t="s">
        <v>14</v>
      </c>
      <c r="L20" t="s">
        <v>13</v>
      </c>
      <c r="M20">
        <v>1</v>
      </c>
      <c r="N20" t="str">
        <f t="shared" si="0"/>
        <v>Yes</v>
      </c>
    </row>
    <row r="21" spans="1:14" x14ac:dyDescent="0.35">
      <c r="A21">
        <v>7</v>
      </c>
      <c r="B21">
        <v>20</v>
      </c>
      <c r="C21" t="s">
        <v>51</v>
      </c>
      <c r="D21" t="s">
        <v>52</v>
      </c>
      <c r="E21">
        <v>0</v>
      </c>
      <c r="F21">
        <v>0</v>
      </c>
      <c r="G21">
        <v>0</v>
      </c>
      <c r="H21" t="s">
        <v>13</v>
      </c>
      <c r="I21" t="s">
        <v>13</v>
      </c>
      <c r="J21" t="s">
        <v>13</v>
      </c>
      <c r="K21" t="s">
        <v>13</v>
      </c>
      <c r="L21" t="s">
        <v>13</v>
      </c>
      <c r="M21">
        <v>1</v>
      </c>
      <c r="N21" t="str">
        <f t="shared" si="0"/>
        <v>Yes</v>
      </c>
    </row>
    <row r="22" spans="1:14" x14ac:dyDescent="0.35">
      <c r="A22">
        <v>7</v>
      </c>
      <c r="B22">
        <v>21</v>
      </c>
      <c r="C22" t="s">
        <v>53</v>
      </c>
      <c r="D22" t="s">
        <v>54</v>
      </c>
      <c r="E22">
        <v>0</v>
      </c>
      <c r="F22">
        <v>0</v>
      </c>
      <c r="G22">
        <v>0</v>
      </c>
      <c r="H22" t="s">
        <v>13</v>
      </c>
      <c r="I22" t="s">
        <v>13</v>
      </c>
      <c r="J22" t="s">
        <v>13</v>
      </c>
      <c r="K22" t="s">
        <v>13</v>
      </c>
      <c r="L22" t="s">
        <v>13</v>
      </c>
      <c r="M22">
        <v>1</v>
      </c>
      <c r="N22" t="str">
        <f t="shared" si="0"/>
        <v>Yes</v>
      </c>
    </row>
    <row r="23" spans="1:14" x14ac:dyDescent="0.35">
      <c r="A23">
        <v>8</v>
      </c>
      <c r="B23">
        <v>22</v>
      </c>
      <c r="C23" t="s">
        <v>55</v>
      </c>
      <c r="D23" t="s">
        <v>56</v>
      </c>
      <c r="E23">
        <v>50</v>
      </c>
      <c r="F23">
        <v>0</v>
      </c>
      <c r="G23" s="2">
        <v>2.5000000000000001E-2</v>
      </c>
      <c r="H23" t="s">
        <v>13</v>
      </c>
      <c r="I23" t="s">
        <v>14</v>
      </c>
      <c r="J23" t="s">
        <v>13</v>
      </c>
      <c r="K23" t="s">
        <v>14</v>
      </c>
      <c r="L23" t="s">
        <v>13</v>
      </c>
      <c r="M23">
        <v>1</v>
      </c>
      <c r="N23" t="str">
        <f t="shared" si="0"/>
        <v>Yes</v>
      </c>
    </row>
    <row r="24" spans="1:14" x14ac:dyDescent="0.35">
      <c r="A24">
        <v>8</v>
      </c>
      <c r="B24">
        <v>23</v>
      </c>
      <c r="C24" t="s">
        <v>57</v>
      </c>
      <c r="D24" t="s">
        <v>58</v>
      </c>
      <c r="E24">
        <v>56</v>
      </c>
      <c r="F24">
        <v>0</v>
      </c>
      <c r="G24" s="2">
        <v>0.33300000000000002</v>
      </c>
      <c r="H24" t="s">
        <v>14</v>
      </c>
      <c r="I24" t="s">
        <v>13</v>
      </c>
      <c r="J24" t="s">
        <v>13</v>
      </c>
      <c r="K24" t="s">
        <v>13</v>
      </c>
      <c r="L24" t="s">
        <v>13</v>
      </c>
      <c r="M24">
        <v>1</v>
      </c>
      <c r="N24" t="str">
        <f t="shared" si="0"/>
        <v>Yes</v>
      </c>
    </row>
    <row r="25" spans="1:14" x14ac:dyDescent="0.35">
      <c r="A25">
        <v>8</v>
      </c>
      <c r="B25">
        <v>24</v>
      </c>
      <c r="C25" t="s">
        <v>59</v>
      </c>
      <c r="D25" t="s">
        <v>60</v>
      </c>
      <c r="E25">
        <v>30</v>
      </c>
      <c r="F25">
        <v>0</v>
      </c>
      <c r="G25" s="1">
        <v>0.06</v>
      </c>
      <c r="H25" t="s">
        <v>13</v>
      </c>
      <c r="I25" t="s">
        <v>14</v>
      </c>
      <c r="J25" t="s">
        <v>13</v>
      </c>
      <c r="K25" t="s">
        <v>13</v>
      </c>
      <c r="L25" t="s">
        <v>13</v>
      </c>
      <c r="M25">
        <v>1</v>
      </c>
      <c r="N25" t="str">
        <f t="shared" si="0"/>
        <v>Yes</v>
      </c>
    </row>
    <row r="26" spans="1:14" x14ac:dyDescent="0.35">
      <c r="A26">
        <v>9</v>
      </c>
      <c r="B26">
        <v>25</v>
      </c>
      <c r="C26" t="s">
        <v>61</v>
      </c>
      <c r="D26" t="s">
        <v>62</v>
      </c>
      <c r="E26">
        <v>50</v>
      </c>
      <c r="F26">
        <v>0</v>
      </c>
      <c r="G26" s="1">
        <v>7.0000000000000007E-2</v>
      </c>
      <c r="H26" t="s">
        <v>13</v>
      </c>
      <c r="I26" t="s">
        <v>13</v>
      </c>
      <c r="J26" t="s">
        <v>14</v>
      </c>
      <c r="K26" t="s">
        <v>14</v>
      </c>
      <c r="L26" t="s">
        <v>13</v>
      </c>
      <c r="M26">
        <v>1</v>
      </c>
      <c r="N26" t="str">
        <f t="shared" si="0"/>
        <v>Yes</v>
      </c>
    </row>
    <row r="27" spans="1:14" x14ac:dyDescent="0.35">
      <c r="A27">
        <v>9</v>
      </c>
      <c r="B27">
        <v>26</v>
      </c>
      <c r="C27" t="s">
        <v>63</v>
      </c>
      <c r="D27" t="s">
        <v>64</v>
      </c>
      <c r="E27">
        <v>50</v>
      </c>
      <c r="F27">
        <v>0</v>
      </c>
      <c r="G27" s="1">
        <v>0.1</v>
      </c>
      <c r="H27" t="s">
        <v>13</v>
      </c>
      <c r="I27" t="s">
        <v>13</v>
      </c>
      <c r="J27" t="s">
        <v>13</v>
      </c>
      <c r="K27" t="s">
        <v>14</v>
      </c>
      <c r="L27" t="s">
        <v>13</v>
      </c>
      <c r="M27">
        <v>1</v>
      </c>
      <c r="N27" t="str">
        <f t="shared" si="0"/>
        <v>Yes</v>
      </c>
    </row>
    <row r="28" spans="1:14" x14ac:dyDescent="0.35">
      <c r="A28">
        <v>9</v>
      </c>
      <c r="B28">
        <v>27</v>
      </c>
      <c r="C28" t="s">
        <v>65</v>
      </c>
      <c r="D28" t="s">
        <v>66</v>
      </c>
      <c r="E28">
        <v>0</v>
      </c>
      <c r="F28">
        <v>0</v>
      </c>
      <c r="G28">
        <v>0</v>
      </c>
      <c r="H28" t="s">
        <v>13</v>
      </c>
      <c r="I28" t="s">
        <v>13</v>
      </c>
      <c r="J28" t="s">
        <v>13</v>
      </c>
      <c r="K28" t="s">
        <v>13</v>
      </c>
      <c r="L28" t="s">
        <v>13</v>
      </c>
      <c r="M28">
        <v>1</v>
      </c>
      <c r="N28" t="str">
        <f t="shared" si="0"/>
        <v>Yes</v>
      </c>
    </row>
    <row r="29" spans="1:14" x14ac:dyDescent="0.35">
      <c r="A29">
        <v>10</v>
      </c>
      <c r="B29">
        <v>28</v>
      </c>
      <c r="C29" t="s">
        <v>67</v>
      </c>
      <c r="D29" t="s">
        <v>68</v>
      </c>
      <c r="E29">
        <v>25</v>
      </c>
      <c r="F29">
        <v>0</v>
      </c>
      <c r="G29" s="1">
        <v>0.2</v>
      </c>
      <c r="H29" t="s">
        <v>13</v>
      </c>
      <c r="I29" t="s">
        <v>13</v>
      </c>
      <c r="J29" t="s">
        <v>14</v>
      </c>
      <c r="K29" t="s">
        <v>14</v>
      </c>
      <c r="L29" t="s">
        <v>13</v>
      </c>
      <c r="M29">
        <v>1</v>
      </c>
      <c r="N29" t="str">
        <f t="shared" si="0"/>
        <v>Yes</v>
      </c>
    </row>
    <row r="30" spans="1:14" x14ac:dyDescent="0.35">
      <c r="A30">
        <v>10</v>
      </c>
      <c r="B30">
        <v>29</v>
      </c>
      <c r="C30" t="s">
        <v>69</v>
      </c>
      <c r="D30" t="s">
        <v>70</v>
      </c>
      <c r="E30">
        <v>30</v>
      </c>
      <c r="F30">
        <v>0</v>
      </c>
      <c r="G30" s="1">
        <v>0.2</v>
      </c>
      <c r="H30" t="s">
        <v>14</v>
      </c>
      <c r="I30" t="s">
        <v>13</v>
      </c>
      <c r="J30" t="s">
        <v>13</v>
      </c>
      <c r="K30" t="s">
        <v>14</v>
      </c>
      <c r="L30" t="s">
        <v>13</v>
      </c>
      <c r="M30">
        <v>1</v>
      </c>
      <c r="N30" t="str">
        <f t="shared" si="0"/>
        <v>Yes</v>
      </c>
    </row>
    <row r="31" spans="1:14" x14ac:dyDescent="0.35">
      <c r="A31">
        <v>10</v>
      </c>
      <c r="B31">
        <v>30</v>
      </c>
      <c r="C31" t="s">
        <v>71</v>
      </c>
      <c r="D31" t="s">
        <v>72</v>
      </c>
      <c r="E31">
        <v>30</v>
      </c>
      <c r="F31">
        <v>0</v>
      </c>
      <c r="G31" s="1">
        <v>0.03</v>
      </c>
      <c r="H31" t="s">
        <v>13</v>
      </c>
      <c r="I31" t="s">
        <v>14</v>
      </c>
      <c r="J31" t="s">
        <v>13</v>
      </c>
      <c r="K31" t="s">
        <v>14</v>
      </c>
      <c r="L31" t="s">
        <v>13</v>
      </c>
      <c r="M31">
        <v>1</v>
      </c>
      <c r="N31" t="str">
        <f t="shared" si="0"/>
        <v>Yes</v>
      </c>
    </row>
    <row r="32" spans="1:14" x14ac:dyDescent="0.35">
      <c r="A32">
        <v>11</v>
      </c>
      <c r="B32">
        <v>31</v>
      </c>
      <c r="C32" t="s">
        <v>73</v>
      </c>
      <c r="D32" t="s">
        <v>74</v>
      </c>
      <c r="E32">
        <v>0</v>
      </c>
      <c r="F32">
        <v>0</v>
      </c>
      <c r="G32">
        <v>0</v>
      </c>
      <c r="H32" t="s">
        <v>13</v>
      </c>
      <c r="I32" t="s">
        <v>13</v>
      </c>
      <c r="J32" t="s">
        <v>13</v>
      </c>
      <c r="K32" t="s">
        <v>13</v>
      </c>
      <c r="L32" t="s">
        <v>13</v>
      </c>
      <c r="M32">
        <v>1</v>
      </c>
      <c r="N32" t="str">
        <f t="shared" si="0"/>
        <v>Yes</v>
      </c>
    </row>
    <row r="33" spans="1:14" x14ac:dyDescent="0.35">
      <c r="A33">
        <v>11</v>
      </c>
      <c r="B33">
        <v>32</v>
      </c>
      <c r="C33" t="s">
        <v>75</v>
      </c>
      <c r="D33" t="s">
        <v>76</v>
      </c>
      <c r="E33">
        <v>50</v>
      </c>
      <c r="F33">
        <v>0</v>
      </c>
      <c r="G33" s="1">
        <v>0.15</v>
      </c>
      <c r="H33" t="s">
        <v>14</v>
      </c>
      <c r="I33" t="s">
        <v>13</v>
      </c>
      <c r="J33" t="s">
        <v>13</v>
      </c>
      <c r="K33" t="s">
        <v>13</v>
      </c>
      <c r="L33" t="s">
        <v>13</v>
      </c>
      <c r="M33">
        <v>1</v>
      </c>
      <c r="N33" t="str">
        <f t="shared" si="0"/>
        <v>Yes</v>
      </c>
    </row>
    <row r="34" spans="1:14" x14ac:dyDescent="0.35">
      <c r="A34">
        <v>11</v>
      </c>
      <c r="B34">
        <v>33</v>
      </c>
      <c r="C34" t="s">
        <v>77</v>
      </c>
      <c r="D34" t="s">
        <v>78</v>
      </c>
      <c r="E34">
        <v>30</v>
      </c>
      <c r="F34">
        <v>0</v>
      </c>
      <c r="G34" s="1">
        <v>0.2</v>
      </c>
      <c r="H34" t="s">
        <v>13</v>
      </c>
      <c r="I34" t="s">
        <v>13</v>
      </c>
      <c r="J34" t="s">
        <v>14</v>
      </c>
      <c r="K34" t="s">
        <v>14</v>
      </c>
      <c r="L34" t="s">
        <v>13</v>
      </c>
      <c r="M34">
        <v>1</v>
      </c>
      <c r="N34" t="str">
        <f t="shared" si="0"/>
        <v>Yes</v>
      </c>
    </row>
    <row r="35" spans="1:14" x14ac:dyDescent="0.35">
      <c r="A35">
        <v>12</v>
      </c>
      <c r="B35">
        <v>34</v>
      </c>
      <c r="C35" t="s">
        <v>79</v>
      </c>
      <c r="D35" t="s">
        <v>80</v>
      </c>
      <c r="E35">
        <v>75</v>
      </c>
      <c r="F35">
        <v>0</v>
      </c>
      <c r="G35" s="1">
        <v>0.05</v>
      </c>
      <c r="H35" t="s">
        <v>13</v>
      </c>
      <c r="I35" t="s">
        <v>13</v>
      </c>
      <c r="J35" t="s">
        <v>14</v>
      </c>
      <c r="K35" t="s">
        <v>13</v>
      </c>
      <c r="L35" t="s">
        <v>13</v>
      </c>
      <c r="M35">
        <v>1</v>
      </c>
      <c r="N35" t="str">
        <f t="shared" si="0"/>
        <v>Yes</v>
      </c>
    </row>
    <row r="36" spans="1:14" x14ac:dyDescent="0.35">
      <c r="A36">
        <v>12</v>
      </c>
      <c r="B36">
        <v>35</v>
      </c>
      <c r="C36" t="s">
        <v>81</v>
      </c>
      <c r="D36" t="s">
        <v>82</v>
      </c>
      <c r="E36">
        <v>0</v>
      </c>
      <c r="F36">
        <v>0</v>
      </c>
      <c r="G36">
        <v>0</v>
      </c>
      <c r="H36" t="s">
        <v>13</v>
      </c>
      <c r="I36" t="s">
        <v>13</v>
      </c>
      <c r="J36" t="s">
        <v>13</v>
      </c>
      <c r="K36" t="s">
        <v>13</v>
      </c>
      <c r="L36" t="s">
        <v>13</v>
      </c>
      <c r="M36">
        <v>1</v>
      </c>
      <c r="N36" t="str">
        <f t="shared" si="0"/>
        <v>Yes</v>
      </c>
    </row>
    <row r="37" spans="1:14" x14ac:dyDescent="0.35">
      <c r="A37">
        <v>12</v>
      </c>
      <c r="B37">
        <v>36</v>
      </c>
      <c r="C37" t="s">
        <v>83</v>
      </c>
      <c r="D37" t="s">
        <v>84</v>
      </c>
      <c r="E37">
        <v>40</v>
      </c>
      <c r="F37">
        <v>0</v>
      </c>
      <c r="G37" s="1">
        <v>0.24</v>
      </c>
      <c r="H37" t="s">
        <v>14</v>
      </c>
      <c r="I37" t="s">
        <v>13</v>
      </c>
      <c r="J37" t="s">
        <v>13</v>
      </c>
      <c r="K37" t="s">
        <v>14</v>
      </c>
      <c r="L37" t="s">
        <v>13</v>
      </c>
      <c r="M37">
        <v>1</v>
      </c>
      <c r="N37" t="str">
        <f t="shared" si="0"/>
        <v>Yes</v>
      </c>
    </row>
    <row r="38" spans="1:14" x14ac:dyDescent="0.35">
      <c r="A38">
        <v>13</v>
      </c>
      <c r="B38">
        <v>37</v>
      </c>
      <c r="C38" t="s">
        <v>85</v>
      </c>
      <c r="D38" t="s">
        <v>86</v>
      </c>
      <c r="E38">
        <v>10</v>
      </c>
      <c r="F38">
        <v>0</v>
      </c>
      <c r="G38" s="1">
        <v>0.03</v>
      </c>
      <c r="H38" t="s">
        <v>14</v>
      </c>
      <c r="I38" t="s">
        <v>13</v>
      </c>
      <c r="J38" t="s">
        <v>14</v>
      </c>
      <c r="K38" t="s">
        <v>13</v>
      </c>
      <c r="L38" t="s">
        <v>13</v>
      </c>
      <c r="M38">
        <v>1</v>
      </c>
      <c r="N38" t="str">
        <f t="shared" si="0"/>
        <v>Yes</v>
      </c>
    </row>
    <row r="39" spans="1:14" x14ac:dyDescent="0.35">
      <c r="A39">
        <v>13</v>
      </c>
      <c r="B39">
        <v>38</v>
      </c>
      <c r="C39" t="s">
        <v>87</v>
      </c>
      <c r="D39" t="s">
        <v>88</v>
      </c>
      <c r="E39">
        <v>50</v>
      </c>
      <c r="F39">
        <v>0</v>
      </c>
      <c r="G39" s="1">
        <v>0.2</v>
      </c>
      <c r="H39" t="s">
        <v>14</v>
      </c>
      <c r="I39" t="s">
        <v>13</v>
      </c>
      <c r="J39" t="s">
        <v>13</v>
      </c>
      <c r="K39" t="s">
        <v>13</v>
      </c>
      <c r="L39" t="s">
        <v>13</v>
      </c>
      <c r="M39">
        <v>1</v>
      </c>
      <c r="N39" t="str">
        <f t="shared" si="0"/>
        <v>Yes</v>
      </c>
    </row>
    <row r="40" spans="1:14" x14ac:dyDescent="0.35">
      <c r="A40">
        <v>13</v>
      </c>
      <c r="B40">
        <v>39</v>
      </c>
      <c r="C40" t="s">
        <v>89</v>
      </c>
      <c r="D40" t="s">
        <v>90</v>
      </c>
      <c r="E40">
        <v>10</v>
      </c>
      <c r="F40">
        <v>0</v>
      </c>
      <c r="G40" s="1">
        <v>0.1</v>
      </c>
      <c r="H40" t="s">
        <v>14</v>
      </c>
      <c r="I40" t="s">
        <v>14</v>
      </c>
      <c r="J40" t="s">
        <v>13</v>
      </c>
      <c r="K40" t="s">
        <v>14</v>
      </c>
      <c r="L40" t="s">
        <v>13</v>
      </c>
      <c r="M40">
        <v>1</v>
      </c>
      <c r="N40" t="str">
        <f t="shared" si="0"/>
        <v>Yes</v>
      </c>
    </row>
    <row r="41" spans="1:14" x14ac:dyDescent="0.35">
      <c r="A41">
        <v>14</v>
      </c>
      <c r="B41">
        <v>40</v>
      </c>
      <c r="C41" t="s">
        <v>91</v>
      </c>
      <c r="D41" t="s">
        <v>92</v>
      </c>
      <c r="E41">
        <v>10</v>
      </c>
      <c r="F41">
        <v>0</v>
      </c>
      <c r="G41" s="1">
        <v>0.06</v>
      </c>
      <c r="H41" t="s">
        <v>13</v>
      </c>
      <c r="I41" t="s">
        <v>13</v>
      </c>
      <c r="J41" t="s">
        <v>14</v>
      </c>
      <c r="K41" t="s">
        <v>14</v>
      </c>
      <c r="L41" t="s">
        <v>13</v>
      </c>
      <c r="M41">
        <v>1</v>
      </c>
      <c r="N41" t="str">
        <f t="shared" si="0"/>
        <v>Yes</v>
      </c>
    </row>
    <row r="42" spans="1:14" x14ac:dyDescent="0.35">
      <c r="A42">
        <v>14</v>
      </c>
      <c r="B42">
        <v>41</v>
      </c>
      <c r="C42" t="s">
        <v>93</v>
      </c>
      <c r="D42" t="s">
        <v>94</v>
      </c>
      <c r="E42">
        <v>0</v>
      </c>
      <c r="F42">
        <v>0</v>
      </c>
      <c r="G42">
        <v>0</v>
      </c>
      <c r="H42" t="s">
        <v>13</v>
      </c>
      <c r="I42" t="s">
        <v>13</v>
      </c>
      <c r="J42" t="s">
        <v>13</v>
      </c>
      <c r="K42" t="s">
        <v>13</v>
      </c>
      <c r="L42" t="s">
        <v>13</v>
      </c>
      <c r="M42">
        <v>1</v>
      </c>
      <c r="N42" t="str">
        <f t="shared" si="0"/>
        <v>Yes</v>
      </c>
    </row>
    <row r="43" spans="1:14" x14ac:dyDescent="0.35">
      <c r="A43">
        <v>14</v>
      </c>
      <c r="B43">
        <v>42</v>
      </c>
      <c r="C43" t="s">
        <v>95</v>
      </c>
      <c r="D43" t="s">
        <v>96</v>
      </c>
      <c r="E43">
        <v>0</v>
      </c>
      <c r="F43">
        <v>0</v>
      </c>
      <c r="G43">
        <v>0</v>
      </c>
      <c r="H43" t="s">
        <v>13</v>
      </c>
      <c r="I43" t="s">
        <v>13</v>
      </c>
      <c r="J43" t="s">
        <v>13</v>
      </c>
      <c r="K43" t="s">
        <v>13</v>
      </c>
      <c r="L43" t="s">
        <v>13</v>
      </c>
      <c r="M43">
        <v>1</v>
      </c>
      <c r="N43" t="str">
        <f t="shared" si="0"/>
        <v>Yes</v>
      </c>
    </row>
    <row r="44" spans="1:14" x14ac:dyDescent="0.35">
      <c r="A44">
        <v>15</v>
      </c>
      <c r="B44">
        <v>43</v>
      </c>
      <c r="C44" t="s">
        <v>97</v>
      </c>
      <c r="D44" t="s">
        <v>98</v>
      </c>
      <c r="E44">
        <v>10</v>
      </c>
      <c r="F44">
        <v>0</v>
      </c>
      <c r="G44" s="2">
        <v>0.4</v>
      </c>
      <c r="H44" t="s">
        <v>13</v>
      </c>
      <c r="I44" t="s">
        <v>13</v>
      </c>
      <c r="J44" t="s">
        <v>13</v>
      </c>
      <c r="K44" t="s">
        <v>14</v>
      </c>
      <c r="L44" t="s">
        <v>13</v>
      </c>
      <c r="M44">
        <v>1</v>
      </c>
      <c r="N44" t="str">
        <f t="shared" si="0"/>
        <v>Yes</v>
      </c>
    </row>
    <row r="45" spans="1:14" x14ac:dyDescent="0.35">
      <c r="A45">
        <v>15</v>
      </c>
      <c r="B45">
        <v>44</v>
      </c>
      <c r="C45" t="s">
        <v>99</v>
      </c>
      <c r="D45" t="s">
        <v>100</v>
      </c>
      <c r="E45">
        <v>25</v>
      </c>
      <c r="F45">
        <v>25</v>
      </c>
      <c r="G45" s="2">
        <v>0.25</v>
      </c>
      <c r="H45" t="s">
        <v>13</v>
      </c>
      <c r="I45" t="s">
        <v>13</v>
      </c>
      <c r="J45" t="s">
        <v>13</v>
      </c>
      <c r="K45" t="s">
        <v>13</v>
      </c>
      <c r="L45" t="s">
        <v>13</v>
      </c>
      <c r="M45">
        <v>1</v>
      </c>
      <c r="N45" t="str">
        <f t="shared" si="0"/>
        <v>Yes</v>
      </c>
    </row>
    <row r="46" spans="1:14" x14ac:dyDescent="0.35">
      <c r="A46">
        <v>15</v>
      </c>
      <c r="B46">
        <v>45</v>
      </c>
      <c r="C46" t="s">
        <v>101</v>
      </c>
      <c r="D46" t="s">
        <v>102</v>
      </c>
      <c r="E46">
        <v>5</v>
      </c>
      <c r="F46">
        <v>0</v>
      </c>
      <c r="G46" s="2">
        <v>0.05</v>
      </c>
      <c r="H46" t="s">
        <v>14</v>
      </c>
      <c r="I46" t="s">
        <v>13</v>
      </c>
      <c r="J46" t="s">
        <v>14</v>
      </c>
      <c r="K46" t="s">
        <v>14</v>
      </c>
      <c r="L46" t="s">
        <v>13</v>
      </c>
      <c r="M46">
        <v>1</v>
      </c>
      <c r="N46" t="str">
        <f t="shared" si="0"/>
        <v>Yes</v>
      </c>
    </row>
    <row r="47" spans="1:14" x14ac:dyDescent="0.35">
      <c r="A47">
        <v>16</v>
      </c>
      <c r="B47">
        <v>46</v>
      </c>
      <c r="C47" t="s">
        <v>103</v>
      </c>
      <c r="D47" t="s">
        <v>104</v>
      </c>
      <c r="E47">
        <v>50</v>
      </c>
      <c r="F47">
        <v>30</v>
      </c>
      <c r="G47" s="2">
        <v>3.5000000000000003E-2</v>
      </c>
      <c r="H47" t="s">
        <v>14</v>
      </c>
      <c r="I47" t="s">
        <v>14</v>
      </c>
      <c r="J47" t="s">
        <v>13</v>
      </c>
      <c r="K47" t="s">
        <v>13</v>
      </c>
      <c r="L47" t="s">
        <v>13</v>
      </c>
      <c r="M47">
        <v>1</v>
      </c>
      <c r="N47" t="str">
        <f t="shared" si="0"/>
        <v>Yes</v>
      </c>
    </row>
    <row r="48" spans="1:14" x14ac:dyDescent="0.35">
      <c r="A48">
        <v>16</v>
      </c>
      <c r="B48">
        <v>47</v>
      </c>
      <c r="C48" t="s">
        <v>105</v>
      </c>
      <c r="D48" t="s">
        <v>106</v>
      </c>
      <c r="E48">
        <v>0</v>
      </c>
      <c r="F48">
        <v>0</v>
      </c>
      <c r="G48">
        <v>0</v>
      </c>
      <c r="H48" t="s">
        <v>13</v>
      </c>
      <c r="I48" t="s">
        <v>13</v>
      </c>
      <c r="J48" t="s">
        <v>13</v>
      </c>
      <c r="K48" t="s">
        <v>13</v>
      </c>
      <c r="L48" t="s">
        <v>13</v>
      </c>
      <c r="M48">
        <v>1</v>
      </c>
      <c r="N48" t="str">
        <f t="shared" si="0"/>
        <v>Yes</v>
      </c>
    </row>
    <row r="49" spans="1:14" x14ac:dyDescent="0.35">
      <c r="A49">
        <v>16</v>
      </c>
      <c r="B49">
        <v>48</v>
      </c>
      <c r="C49" t="s">
        <v>107</v>
      </c>
      <c r="D49" t="s">
        <v>108</v>
      </c>
      <c r="E49">
        <v>75</v>
      </c>
      <c r="F49">
        <v>0</v>
      </c>
      <c r="G49" s="2">
        <v>0.15</v>
      </c>
      <c r="H49" t="s">
        <v>13</v>
      </c>
      <c r="I49" t="s">
        <v>13</v>
      </c>
      <c r="J49" t="s">
        <v>14</v>
      </c>
      <c r="K49" t="s">
        <v>14</v>
      </c>
      <c r="L49" t="s">
        <v>13</v>
      </c>
      <c r="M49">
        <v>1</v>
      </c>
      <c r="N49" t="str">
        <f t="shared" si="0"/>
        <v>Yes</v>
      </c>
    </row>
    <row r="50" spans="1:14" x14ac:dyDescent="0.35">
      <c r="A50">
        <v>16</v>
      </c>
      <c r="B50">
        <v>49</v>
      </c>
      <c r="C50" t="s">
        <v>109</v>
      </c>
      <c r="D50" t="s">
        <v>110</v>
      </c>
      <c r="E50">
        <v>45</v>
      </c>
      <c r="F50">
        <v>0</v>
      </c>
      <c r="G50" s="2">
        <v>0.12</v>
      </c>
      <c r="H50" t="s">
        <v>14</v>
      </c>
      <c r="I50" t="s">
        <v>13</v>
      </c>
      <c r="J50" t="s">
        <v>13</v>
      </c>
      <c r="K50" t="s">
        <v>14</v>
      </c>
      <c r="L50" t="s">
        <v>13</v>
      </c>
      <c r="M50">
        <v>1</v>
      </c>
      <c r="N50" t="str">
        <f t="shared" si="0"/>
        <v>Yes</v>
      </c>
    </row>
    <row r="51" spans="1:14" x14ac:dyDescent="0.35">
      <c r="A51">
        <v>17</v>
      </c>
      <c r="B51">
        <v>50</v>
      </c>
      <c r="C51" t="s">
        <v>111</v>
      </c>
      <c r="D51" t="s">
        <v>112</v>
      </c>
      <c r="E51">
        <v>50</v>
      </c>
      <c r="F51">
        <v>0</v>
      </c>
      <c r="G51" s="2">
        <v>0.25</v>
      </c>
      <c r="H51" t="s">
        <v>14</v>
      </c>
      <c r="I51" t="s">
        <v>14</v>
      </c>
      <c r="J51" t="s">
        <v>14</v>
      </c>
      <c r="K51" t="s">
        <v>14</v>
      </c>
      <c r="L51" t="s">
        <v>13</v>
      </c>
      <c r="M51">
        <v>1</v>
      </c>
      <c r="N51" t="str">
        <f t="shared" si="0"/>
        <v>Yes</v>
      </c>
    </row>
    <row r="52" spans="1:14" x14ac:dyDescent="0.35">
      <c r="A52">
        <v>17</v>
      </c>
      <c r="B52">
        <v>51</v>
      </c>
      <c r="C52" t="s">
        <v>113</v>
      </c>
      <c r="D52" t="s">
        <v>114</v>
      </c>
      <c r="E52">
        <v>15</v>
      </c>
      <c r="F52">
        <v>0</v>
      </c>
      <c r="G52" s="2">
        <v>0.15</v>
      </c>
      <c r="H52" t="s">
        <v>13</v>
      </c>
      <c r="I52" t="s">
        <v>14</v>
      </c>
      <c r="J52" t="s">
        <v>14</v>
      </c>
      <c r="K52" t="s">
        <v>13</v>
      </c>
      <c r="L52" t="s">
        <v>13</v>
      </c>
      <c r="M52">
        <v>1</v>
      </c>
      <c r="N52" t="str">
        <f t="shared" si="0"/>
        <v>Yes</v>
      </c>
    </row>
    <row r="53" spans="1:14" x14ac:dyDescent="0.35">
      <c r="A53">
        <v>17</v>
      </c>
      <c r="B53">
        <v>52</v>
      </c>
      <c r="C53" t="s">
        <v>115</v>
      </c>
      <c r="D53" t="s">
        <v>116</v>
      </c>
      <c r="E53">
        <v>0</v>
      </c>
      <c r="F53">
        <v>0</v>
      </c>
      <c r="G53">
        <v>0</v>
      </c>
      <c r="H53" t="s">
        <v>13</v>
      </c>
      <c r="I53" t="s">
        <v>13</v>
      </c>
      <c r="J53" t="s">
        <v>13</v>
      </c>
      <c r="K53" t="s">
        <v>13</v>
      </c>
      <c r="L53" t="s">
        <v>13</v>
      </c>
      <c r="M53">
        <v>1</v>
      </c>
      <c r="N53" t="str">
        <f t="shared" si="0"/>
        <v>Yes</v>
      </c>
    </row>
    <row r="54" spans="1:14" x14ac:dyDescent="0.35">
      <c r="A54">
        <v>17</v>
      </c>
      <c r="B54">
        <v>53</v>
      </c>
      <c r="C54" t="s">
        <v>117</v>
      </c>
      <c r="D54" t="s">
        <v>118</v>
      </c>
      <c r="E54">
        <v>80</v>
      </c>
      <c r="F54">
        <v>0</v>
      </c>
      <c r="G54" s="2">
        <v>0.2</v>
      </c>
      <c r="H54" t="s">
        <v>13</v>
      </c>
      <c r="I54" t="s">
        <v>13</v>
      </c>
      <c r="J54" t="s">
        <v>13</v>
      </c>
      <c r="K54" t="s">
        <v>13</v>
      </c>
      <c r="L54" t="s">
        <v>13</v>
      </c>
      <c r="M54">
        <v>1</v>
      </c>
      <c r="N54" t="str">
        <f t="shared" si="0"/>
        <v>Yes</v>
      </c>
    </row>
    <row r="55" spans="1:14" x14ac:dyDescent="0.35">
      <c r="A55">
        <v>18</v>
      </c>
      <c r="B55">
        <v>54</v>
      </c>
      <c r="C55" t="s">
        <v>119</v>
      </c>
      <c r="D55" t="s">
        <v>120</v>
      </c>
      <c r="E55">
        <v>0</v>
      </c>
      <c r="F55">
        <v>0</v>
      </c>
      <c r="G55">
        <v>0</v>
      </c>
      <c r="H55" t="s">
        <v>13</v>
      </c>
      <c r="I55" t="s">
        <v>13</v>
      </c>
      <c r="J55" t="s">
        <v>13</v>
      </c>
      <c r="K55" t="s">
        <v>13</v>
      </c>
      <c r="L55" t="s">
        <v>13</v>
      </c>
      <c r="M55">
        <v>1</v>
      </c>
      <c r="N55" t="str">
        <f t="shared" si="0"/>
        <v>Yes</v>
      </c>
    </row>
    <row r="56" spans="1:14" x14ac:dyDescent="0.35">
      <c r="A56">
        <v>18</v>
      </c>
      <c r="B56">
        <v>55</v>
      </c>
      <c r="C56" t="s">
        <v>121</v>
      </c>
      <c r="D56" t="s">
        <v>122</v>
      </c>
      <c r="E56">
        <v>0</v>
      </c>
      <c r="F56">
        <v>0</v>
      </c>
      <c r="G56">
        <v>0</v>
      </c>
      <c r="H56" t="s">
        <v>13</v>
      </c>
      <c r="I56" t="s">
        <v>13</v>
      </c>
      <c r="J56" t="s">
        <v>13</v>
      </c>
      <c r="K56" t="s">
        <v>13</v>
      </c>
      <c r="L56" t="s">
        <v>13</v>
      </c>
      <c r="M56">
        <v>1</v>
      </c>
      <c r="N56" t="str">
        <f t="shared" si="0"/>
        <v>Yes</v>
      </c>
    </row>
    <row r="57" spans="1:14" x14ac:dyDescent="0.35">
      <c r="A57">
        <v>18</v>
      </c>
      <c r="B57">
        <v>56</v>
      </c>
      <c r="C57" t="s">
        <v>123</v>
      </c>
      <c r="D57" t="s">
        <v>124</v>
      </c>
      <c r="E57">
        <v>1</v>
      </c>
      <c r="F57">
        <v>99</v>
      </c>
      <c r="G57" s="2">
        <v>0.01</v>
      </c>
      <c r="H57" t="s">
        <v>13</v>
      </c>
      <c r="I57" t="s">
        <v>14</v>
      </c>
      <c r="J57" t="s">
        <v>13</v>
      </c>
      <c r="K57" t="s">
        <v>13</v>
      </c>
      <c r="L57" t="s">
        <v>13</v>
      </c>
      <c r="M57">
        <v>1</v>
      </c>
      <c r="N57" t="str">
        <f t="shared" si="0"/>
        <v>Yes</v>
      </c>
    </row>
    <row r="58" spans="1:14" x14ac:dyDescent="0.35">
      <c r="A58">
        <v>18</v>
      </c>
      <c r="B58">
        <v>57</v>
      </c>
      <c r="C58" t="s">
        <v>125</v>
      </c>
      <c r="D58" t="s">
        <v>126</v>
      </c>
      <c r="E58">
        <v>0</v>
      </c>
      <c r="F58">
        <v>0</v>
      </c>
      <c r="G58">
        <v>0</v>
      </c>
      <c r="H58" t="s">
        <v>13</v>
      </c>
      <c r="I58" t="s">
        <v>13</v>
      </c>
      <c r="J58" t="s">
        <v>13</v>
      </c>
      <c r="K58" t="s">
        <v>13</v>
      </c>
      <c r="L58" t="s">
        <v>13</v>
      </c>
      <c r="M58">
        <v>1</v>
      </c>
      <c r="N58" t="str">
        <f t="shared" si="0"/>
        <v>Yes</v>
      </c>
    </row>
    <row r="59" spans="1:14" x14ac:dyDescent="0.35">
      <c r="A59">
        <v>19</v>
      </c>
      <c r="B59">
        <v>58</v>
      </c>
      <c r="C59" t="s">
        <v>127</v>
      </c>
      <c r="D59" t="s">
        <v>128</v>
      </c>
      <c r="E59">
        <v>0</v>
      </c>
      <c r="F59">
        <v>0</v>
      </c>
      <c r="G59">
        <v>0</v>
      </c>
      <c r="H59" t="s">
        <v>13</v>
      </c>
      <c r="I59" t="s">
        <v>13</v>
      </c>
      <c r="J59" t="s">
        <v>13</v>
      </c>
      <c r="K59" t="s">
        <v>13</v>
      </c>
      <c r="L59" t="s">
        <v>13</v>
      </c>
      <c r="M59">
        <v>1</v>
      </c>
      <c r="N59" t="str">
        <f t="shared" si="0"/>
        <v>Yes</v>
      </c>
    </row>
    <row r="60" spans="1:14" x14ac:dyDescent="0.35">
      <c r="A60">
        <v>19</v>
      </c>
      <c r="B60">
        <v>59</v>
      </c>
      <c r="C60" t="s">
        <v>129</v>
      </c>
      <c r="D60" t="s">
        <v>130</v>
      </c>
      <c r="E60">
        <v>60</v>
      </c>
      <c r="F60">
        <v>0</v>
      </c>
      <c r="G60" s="2">
        <v>0.1</v>
      </c>
      <c r="H60" t="s">
        <v>13</v>
      </c>
      <c r="I60" t="s">
        <v>14</v>
      </c>
      <c r="J60" t="s">
        <v>14</v>
      </c>
      <c r="K60" t="s">
        <v>14</v>
      </c>
      <c r="L60" t="s">
        <v>13</v>
      </c>
      <c r="M60">
        <v>1</v>
      </c>
      <c r="N60" t="str">
        <f t="shared" si="0"/>
        <v>Yes</v>
      </c>
    </row>
    <row r="61" spans="1:14" x14ac:dyDescent="0.35">
      <c r="A61">
        <v>19</v>
      </c>
      <c r="B61">
        <v>60</v>
      </c>
      <c r="C61" t="s">
        <v>131</v>
      </c>
      <c r="D61" t="s">
        <v>132</v>
      </c>
      <c r="E61">
        <v>0</v>
      </c>
      <c r="F61">
        <v>0</v>
      </c>
      <c r="G61">
        <v>0</v>
      </c>
      <c r="H61" t="s">
        <v>13</v>
      </c>
      <c r="I61" t="s">
        <v>13</v>
      </c>
      <c r="J61" t="s">
        <v>13</v>
      </c>
      <c r="K61" t="s">
        <v>13</v>
      </c>
      <c r="L61" t="s">
        <v>13</v>
      </c>
      <c r="M61">
        <v>1</v>
      </c>
      <c r="N61" t="str">
        <f t="shared" si="0"/>
        <v>Yes</v>
      </c>
    </row>
    <row r="62" spans="1:14" x14ac:dyDescent="0.35">
      <c r="A62">
        <v>19</v>
      </c>
      <c r="B62">
        <v>61</v>
      </c>
      <c r="C62" t="s">
        <v>133</v>
      </c>
      <c r="D62" t="s">
        <v>134</v>
      </c>
      <c r="E62">
        <v>0</v>
      </c>
      <c r="F62">
        <v>0</v>
      </c>
      <c r="G62">
        <v>0</v>
      </c>
      <c r="H62" t="s">
        <v>13</v>
      </c>
      <c r="I62" t="s">
        <v>13</v>
      </c>
      <c r="J62" t="s">
        <v>13</v>
      </c>
      <c r="K62" t="s">
        <v>13</v>
      </c>
      <c r="L62" t="s">
        <v>13</v>
      </c>
      <c r="M62">
        <v>1</v>
      </c>
      <c r="N62" t="str">
        <f t="shared" si="0"/>
        <v>Yes</v>
      </c>
    </row>
    <row r="63" spans="1:14" x14ac:dyDescent="0.35">
      <c r="A63">
        <v>20</v>
      </c>
      <c r="B63">
        <v>62</v>
      </c>
      <c r="C63" t="s">
        <v>135</v>
      </c>
      <c r="D63" t="s">
        <v>136</v>
      </c>
      <c r="E63">
        <v>40</v>
      </c>
      <c r="F63">
        <v>25</v>
      </c>
      <c r="G63" s="2">
        <v>0.03</v>
      </c>
      <c r="H63" t="s">
        <v>13</v>
      </c>
      <c r="I63" t="s">
        <v>13</v>
      </c>
      <c r="J63" t="s">
        <v>13</v>
      </c>
      <c r="K63" t="s">
        <v>13</v>
      </c>
      <c r="L63" t="s">
        <v>13</v>
      </c>
      <c r="M63">
        <v>1</v>
      </c>
      <c r="N63" t="str">
        <f t="shared" si="0"/>
        <v>Yes</v>
      </c>
    </row>
    <row r="64" spans="1:14" x14ac:dyDescent="0.35">
      <c r="A64">
        <v>20</v>
      </c>
      <c r="B64">
        <v>63</v>
      </c>
      <c r="C64" t="s">
        <v>137</v>
      </c>
      <c r="D64" t="s">
        <v>138</v>
      </c>
      <c r="E64">
        <v>0</v>
      </c>
      <c r="F64">
        <v>0</v>
      </c>
      <c r="G64">
        <v>0</v>
      </c>
      <c r="H64" t="s">
        <v>13</v>
      </c>
      <c r="I64" t="s">
        <v>13</v>
      </c>
      <c r="J64" t="s">
        <v>13</v>
      </c>
      <c r="K64" t="s">
        <v>13</v>
      </c>
      <c r="L64" t="s">
        <v>13</v>
      </c>
      <c r="M64">
        <v>1</v>
      </c>
      <c r="N64" t="str">
        <f t="shared" si="0"/>
        <v>Yes</v>
      </c>
    </row>
    <row r="65" spans="1:14" x14ac:dyDescent="0.35">
      <c r="A65">
        <v>20</v>
      </c>
      <c r="B65">
        <v>64</v>
      </c>
      <c r="C65" t="s">
        <v>139</v>
      </c>
      <c r="D65" t="s">
        <v>140</v>
      </c>
      <c r="E65">
        <v>10</v>
      </c>
      <c r="F65">
        <v>0</v>
      </c>
      <c r="G65" s="2">
        <v>0.1</v>
      </c>
      <c r="H65" t="s">
        <v>14</v>
      </c>
      <c r="I65" t="s">
        <v>14</v>
      </c>
      <c r="J65" t="s">
        <v>14</v>
      </c>
      <c r="K65" t="s">
        <v>14</v>
      </c>
      <c r="L65" t="s">
        <v>13</v>
      </c>
      <c r="M65">
        <v>1</v>
      </c>
      <c r="N65" t="str">
        <f t="shared" si="0"/>
        <v>Yes</v>
      </c>
    </row>
    <row r="66" spans="1:14" x14ac:dyDescent="0.35">
      <c r="A66">
        <v>21</v>
      </c>
      <c r="B66">
        <v>65</v>
      </c>
      <c r="C66" t="s">
        <v>141</v>
      </c>
      <c r="D66" t="s">
        <v>142</v>
      </c>
      <c r="E66">
        <v>10</v>
      </c>
      <c r="F66">
        <v>0</v>
      </c>
      <c r="G66" s="2">
        <v>0.15</v>
      </c>
      <c r="H66" t="s">
        <v>13</v>
      </c>
      <c r="I66" t="s">
        <v>14</v>
      </c>
      <c r="J66" t="s">
        <v>13</v>
      </c>
      <c r="K66" t="s">
        <v>14</v>
      </c>
      <c r="L66" t="s">
        <v>14</v>
      </c>
      <c r="M66">
        <v>1</v>
      </c>
      <c r="N66" t="str">
        <f t="shared" si="0"/>
        <v>Yes</v>
      </c>
    </row>
    <row r="67" spans="1:14" x14ac:dyDescent="0.35">
      <c r="A67">
        <v>21</v>
      </c>
      <c r="B67">
        <v>66</v>
      </c>
      <c r="C67" t="s">
        <v>143</v>
      </c>
      <c r="D67" t="s">
        <v>144</v>
      </c>
      <c r="E67">
        <v>25</v>
      </c>
      <c r="F67">
        <v>22</v>
      </c>
      <c r="G67" s="2">
        <v>0.75</v>
      </c>
      <c r="H67" t="s">
        <v>13</v>
      </c>
      <c r="I67" t="s">
        <v>13</v>
      </c>
      <c r="J67" t="s">
        <v>13</v>
      </c>
      <c r="K67" t="s">
        <v>13</v>
      </c>
      <c r="L67" t="s">
        <v>13</v>
      </c>
      <c r="M67">
        <v>1</v>
      </c>
      <c r="N67" t="str">
        <f t="shared" ref="N67:N118" si="1">IF(C67&gt;0,"Yes","No")</f>
        <v>Yes</v>
      </c>
    </row>
    <row r="68" spans="1:14" x14ac:dyDescent="0.35">
      <c r="A68">
        <v>21</v>
      </c>
      <c r="B68">
        <v>67</v>
      </c>
      <c r="C68" t="s">
        <v>145</v>
      </c>
      <c r="D68" t="s">
        <v>146</v>
      </c>
      <c r="E68">
        <v>35</v>
      </c>
      <c r="F68">
        <v>0</v>
      </c>
      <c r="G68" s="2">
        <v>0.24</v>
      </c>
      <c r="H68" t="s">
        <v>14</v>
      </c>
      <c r="I68" t="s">
        <v>13</v>
      </c>
      <c r="J68" t="s">
        <v>13</v>
      </c>
      <c r="K68" t="s">
        <v>13</v>
      </c>
      <c r="L68" t="s">
        <v>14</v>
      </c>
      <c r="M68">
        <v>1</v>
      </c>
      <c r="N68" t="str">
        <f t="shared" si="1"/>
        <v>Yes</v>
      </c>
    </row>
    <row r="69" spans="1:14" x14ac:dyDescent="0.35">
      <c r="A69">
        <v>22</v>
      </c>
      <c r="B69">
        <v>68</v>
      </c>
      <c r="C69" t="s">
        <v>147</v>
      </c>
      <c r="D69" t="s">
        <v>148</v>
      </c>
      <c r="E69">
        <v>60</v>
      </c>
      <c r="F69">
        <v>0</v>
      </c>
      <c r="G69" s="2">
        <v>0.04</v>
      </c>
      <c r="H69" t="s">
        <v>14</v>
      </c>
      <c r="I69" t="s">
        <v>14</v>
      </c>
      <c r="J69" t="s">
        <v>13</v>
      </c>
      <c r="K69" t="s">
        <v>13</v>
      </c>
      <c r="L69" t="s">
        <v>13</v>
      </c>
      <c r="M69">
        <v>1</v>
      </c>
      <c r="N69" t="str">
        <f t="shared" si="1"/>
        <v>Yes</v>
      </c>
    </row>
    <row r="70" spans="1:14" x14ac:dyDescent="0.35">
      <c r="A70">
        <v>22</v>
      </c>
      <c r="B70">
        <v>69</v>
      </c>
      <c r="C70" t="s">
        <v>149</v>
      </c>
      <c r="D70" t="s">
        <v>150</v>
      </c>
      <c r="E70">
        <v>0</v>
      </c>
      <c r="F70">
        <v>0</v>
      </c>
      <c r="G70">
        <v>0</v>
      </c>
      <c r="H70" t="s">
        <v>13</v>
      </c>
      <c r="I70" t="s">
        <v>13</v>
      </c>
      <c r="J70" t="s">
        <v>13</v>
      </c>
      <c r="K70" t="s">
        <v>13</v>
      </c>
      <c r="L70" t="s">
        <v>13</v>
      </c>
      <c r="M70">
        <v>1</v>
      </c>
      <c r="N70" t="str">
        <f t="shared" si="1"/>
        <v>Yes</v>
      </c>
    </row>
    <row r="71" spans="1:14" x14ac:dyDescent="0.35">
      <c r="A71">
        <v>22</v>
      </c>
      <c r="B71">
        <v>70</v>
      </c>
      <c r="C71" t="s">
        <v>151</v>
      </c>
      <c r="D71" t="s">
        <v>152</v>
      </c>
      <c r="E71">
        <v>0</v>
      </c>
      <c r="F71">
        <v>0</v>
      </c>
      <c r="G71">
        <v>0</v>
      </c>
      <c r="H71" t="s">
        <v>13</v>
      </c>
      <c r="I71" t="s">
        <v>13</v>
      </c>
      <c r="J71" t="s">
        <v>13</v>
      </c>
      <c r="K71" t="s">
        <v>13</v>
      </c>
      <c r="L71" t="s">
        <v>13</v>
      </c>
      <c r="M71">
        <v>1</v>
      </c>
      <c r="N71" t="str">
        <f t="shared" si="1"/>
        <v>Yes</v>
      </c>
    </row>
    <row r="72" spans="1:14" x14ac:dyDescent="0.35">
      <c r="A72">
        <v>22</v>
      </c>
      <c r="B72">
        <v>71</v>
      </c>
      <c r="C72" t="s">
        <v>153</v>
      </c>
      <c r="D72" t="s">
        <v>154</v>
      </c>
      <c r="E72">
        <v>0</v>
      </c>
      <c r="F72">
        <v>0</v>
      </c>
      <c r="G72">
        <v>0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>
        <v>1</v>
      </c>
      <c r="N72" t="str">
        <f t="shared" si="1"/>
        <v>Yes</v>
      </c>
    </row>
    <row r="73" spans="1:14" x14ac:dyDescent="0.35">
      <c r="A73">
        <v>23</v>
      </c>
      <c r="B73">
        <v>72</v>
      </c>
      <c r="C73" t="s">
        <v>155</v>
      </c>
      <c r="D73" t="s">
        <v>156</v>
      </c>
      <c r="E73">
        <v>50</v>
      </c>
      <c r="F73">
        <v>50</v>
      </c>
      <c r="G73" s="2">
        <v>0.1</v>
      </c>
      <c r="H73" t="s">
        <v>13</v>
      </c>
      <c r="I73" t="s">
        <v>13</v>
      </c>
      <c r="J73" t="s">
        <v>13</v>
      </c>
      <c r="K73" t="s">
        <v>14</v>
      </c>
      <c r="L73" t="s">
        <v>13</v>
      </c>
      <c r="M73">
        <v>1</v>
      </c>
      <c r="N73" t="str">
        <f t="shared" si="1"/>
        <v>Yes</v>
      </c>
    </row>
    <row r="74" spans="1:14" x14ac:dyDescent="0.35">
      <c r="A74">
        <v>23</v>
      </c>
      <c r="B74">
        <v>73</v>
      </c>
      <c r="C74" t="s">
        <v>157</v>
      </c>
      <c r="D74" t="s">
        <v>158</v>
      </c>
      <c r="E74">
        <v>0</v>
      </c>
      <c r="F74">
        <v>0</v>
      </c>
      <c r="G74">
        <v>0</v>
      </c>
      <c r="H74" t="s">
        <v>13</v>
      </c>
      <c r="I74" t="s">
        <v>13</v>
      </c>
      <c r="J74" t="s">
        <v>13</v>
      </c>
      <c r="K74" t="s">
        <v>13</v>
      </c>
      <c r="L74" t="s">
        <v>13</v>
      </c>
      <c r="M74">
        <v>1</v>
      </c>
      <c r="N74" t="str">
        <f t="shared" si="1"/>
        <v>Yes</v>
      </c>
    </row>
    <row r="75" spans="1:14" x14ac:dyDescent="0.35">
      <c r="A75">
        <v>23</v>
      </c>
      <c r="B75">
        <v>74</v>
      </c>
      <c r="C75" t="s">
        <v>159</v>
      </c>
      <c r="D75" t="s">
        <v>160</v>
      </c>
      <c r="E75">
        <v>0</v>
      </c>
      <c r="F75">
        <v>0</v>
      </c>
      <c r="G75">
        <v>0</v>
      </c>
      <c r="H75" t="s">
        <v>13</v>
      </c>
      <c r="I75" t="s">
        <v>13</v>
      </c>
      <c r="J75" t="s">
        <v>13</v>
      </c>
      <c r="K75" t="s">
        <v>13</v>
      </c>
      <c r="L75" t="s">
        <v>13</v>
      </c>
      <c r="M75">
        <v>1</v>
      </c>
      <c r="N75" t="str">
        <f t="shared" si="1"/>
        <v>Yes</v>
      </c>
    </row>
    <row r="76" spans="1:14" x14ac:dyDescent="0.35">
      <c r="A76">
        <v>23</v>
      </c>
      <c r="B76">
        <v>75</v>
      </c>
      <c r="C76" t="s">
        <v>161</v>
      </c>
      <c r="D76" t="s">
        <v>162</v>
      </c>
      <c r="E76">
        <v>0</v>
      </c>
      <c r="F76">
        <v>0</v>
      </c>
      <c r="G76">
        <v>0</v>
      </c>
      <c r="H76" t="s">
        <v>13</v>
      </c>
      <c r="I76" t="s">
        <v>13</v>
      </c>
      <c r="J76" t="s">
        <v>13</v>
      </c>
      <c r="K76" t="s">
        <v>13</v>
      </c>
      <c r="L76" t="s">
        <v>13</v>
      </c>
      <c r="M76">
        <v>1</v>
      </c>
      <c r="N76" t="str">
        <f t="shared" si="1"/>
        <v>Yes</v>
      </c>
    </row>
    <row r="77" spans="1:14" x14ac:dyDescent="0.35">
      <c r="A77">
        <v>24</v>
      </c>
      <c r="B77">
        <v>76</v>
      </c>
      <c r="C77" t="s">
        <v>163</v>
      </c>
      <c r="D77" t="s">
        <v>164</v>
      </c>
      <c r="E77">
        <v>50</v>
      </c>
      <c r="F77">
        <v>0</v>
      </c>
      <c r="G77" s="2">
        <v>0.35</v>
      </c>
      <c r="H77" t="s">
        <v>14</v>
      </c>
      <c r="I77" t="s">
        <v>13</v>
      </c>
      <c r="J77" t="s">
        <v>13</v>
      </c>
      <c r="K77" t="s">
        <v>13</v>
      </c>
      <c r="L77" t="s">
        <v>13</v>
      </c>
      <c r="M77">
        <v>1</v>
      </c>
      <c r="N77" t="str">
        <f t="shared" si="1"/>
        <v>Yes</v>
      </c>
    </row>
    <row r="78" spans="1:14" x14ac:dyDescent="0.35">
      <c r="A78">
        <v>24</v>
      </c>
      <c r="B78">
        <v>77</v>
      </c>
      <c r="C78" t="s">
        <v>165</v>
      </c>
      <c r="D78" t="s">
        <v>166</v>
      </c>
      <c r="E78">
        <v>10</v>
      </c>
      <c r="F78">
        <v>20</v>
      </c>
      <c r="G78" s="2">
        <v>0.4</v>
      </c>
      <c r="H78" t="s">
        <v>13</v>
      </c>
      <c r="I78" t="s">
        <v>13</v>
      </c>
      <c r="J78" t="s">
        <v>13</v>
      </c>
      <c r="K78" t="s">
        <v>13</v>
      </c>
      <c r="L78" t="s">
        <v>13</v>
      </c>
      <c r="M78">
        <v>1</v>
      </c>
      <c r="N78" t="str">
        <f t="shared" si="1"/>
        <v>Yes</v>
      </c>
    </row>
    <row r="79" spans="1:14" x14ac:dyDescent="0.35">
      <c r="A79">
        <v>24</v>
      </c>
      <c r="B79">
        <v>78</v>
      </c>
      <c r="C79" t="s">
        <v>167</v>
      </c>
      <c r="D79" t="s">
        <v>168</v>
      </c>
      <c r="E79">
        <v>0</v>
      </c>
      <c r="F79">
        <v>0</v>
      </c>
      <c r="G79">
        <v>0</v>
      </c>
      <c r="H79" t="s">
        <v>13</v>
      </c>
      <c r="I79" t="s">
        <v>13</v>
      </c>
      <c r="J79" t="s">
        <v>13</v>
      </c>
      <c r="K79" t="s">
        <v>13</v>
      </c>
      <c r="L79" t="s">
        <v>13</v>
      </c>
      <c r="M79">
        <v>1</v>
      </c>
      <c r="N79" t="str">
        <f t="shared" si="1"/>
        <v>Yes</v>
      </c>
    </row>
    <row r="80" spans="1:14" x14ac:dyDescent="0.35">
      <c r="A80">
        <v>25</v>
      </c>
      <c r="B80">
        <v>79</v>
      </c>
      <c r="C80" t="s">
        <v>169</v>
      </c>
      <c r="D80" t="s">
        <v>170</v>
      </c>
      <c r="E80">
        <v>50</v>
      </c>
      <c r="F80">
        <v>0</v>
      </c>
      <c r="G80" s="2">
        <v>0.15</v>
      </c>
      <c r="H80" t="s">
        <v>14</v>
      </c>
      <c r="I80" t="s">
        <v>13</v>
      </c>
      <c r="J80" t="s">
        <v>13</v>
      </c>
      <c r="K80" t="s">
        <v>13</v>
      </c>
      <c r="L80" t="s">
        <v>13</v>
      </c>
      <c r="M80">
        <v>1</v>
      </c>
      <c r="N80" t="str">
        <f t="shared" si="1"/>
        <v>Yes</v>
      </c>
    </row>
    <row r="81" spans="1:14" x14ac:dyDescent="0.35">
      <c r="A81">
        <v>25</v>
      </c>
      <c r="B81">
        <v>80</v>
      </c>
      <c r="C81" t="s">
        <v>171</v>
      </c>
      <c r="D81" t="s">
        <v>172</v>
      </c>
      <c r="E81">
        <v>10</v>
      </c>
      <c r="F81">
        <v>0</v>
      </c>
      <c r="G81" s="2">
        <v>0.06</v>
      </c>
      <c r="H81" t="s">
        <v>14</v>
      </c>
      <c r="I81" t="s">
        <v>13</v>
      </c>
      <c r="J81" t="s">
        <v>14</v>
      </c>
      <c r="K81" t="s">
        <v>13</v>
      </c>
      <c r="L81" t="s">
        <v>14</v>
      </c>
      <c r="M81">
        <v>1</v>
      </c>
      <c r="N81" t="str">
        <f t="shared" si="1"/>
        <v>Yes</v>
      </c>
    </row>
    <row r="82" spans="1:14" x14ac:dyDescent="0.35">
      <c r="A82">
        <v>25</v>
      </c>
      <c r="B82">
        <v>81</v>
      </c>
      <c r="C82" t="s">
        <v>173</v>
      </c>
      <c r="D82" t="s">
        <v>174</v>
      </c>
      <c r="E82">
        <v>0</v>
      </c>
      <c r="F82">
        <v>0</v>
      </c>
      <c r="G82">
        <v>0</v>
      </c>
      <c r="H82" t="s">
        <v>13</v>
      </c>
      <c r="I82" t="s">
        <v>13</v>
      </c>
      <c r="J82" t="s">
        <v>13</v>
      </c>
      <c r="K82" t="s">
        <v>13</v>
      </c>
      <c r="L82" t="s">
        <v>13</v>
      </c>
      <c r="M82">
        <v>1</v>
      </c>
      <c r="N82" t="str">
        <f t="shared" si="1"/>
        <v>Yes</v>
      </c>
    </row>
    <row r="83" spans="1:14" x14ac:dyDescent="0.35">
      <c r="A83">
        <v>26</v>
      </c>
      <c r="B83">
        <v>82</v>
      </c>
      <c r="C83" t="s">
        <v>175</v>
      </c>
      <c r="D83" t="s">
        <v>176</v>
      </c>
      <c r="E83">
        <v>50</v>
      </c>
      <c r="F83">
        <v>0</v>
      </c>
      <c r="G83" s="2">
        <v>0.5</v>
      </c>
      <c r="H83" t="s">
        <v>13</v>
      </c>
      <c r="I83" t="s">
        <v>13</v>
      </c>
      <c r="J83" t="s">
        <v>13</v>
      </c>
      <c r="K83" t="s">
        <v>13</v>
      </c>
      <c r="L83" t="s">
        <v>13</v>
      </c>
      <c r="M83">
        <v>1</v>
      </c>
      <c r="N83" t="str">
        <f t="shared" si="1"/>
        <v>Yes</v>
      </c>
    </row>
    <row r="84" spans="1:14" x14ac:dyDescent="0.35">
      <c r="A84">
        <v>26</v>
      </c>
      <c r="B84">
        <v>83</v>
      </c>
      <c r="C84" t="s">
        <v>177</v>
      </c>
      <c r="D84" t="s">
        <v>178</v>
      </c>
      <c r="E84">
        <v>0</v>
      </c>
      <c r="F84">
        <v>0</v>
      </c>
      <c r="G84">
        <v>0</v>
      </c>
      <c r="H84" t="s">
        <v>13</v>
      </c>
      <c r="I84" t="s">
        <v>13</v>
      </c>
      <c r="J84" t="s">
        <v>13</v>
      </c>
      <c r="K84" t="s">
        <v>13</v>
      </c>
      <c r="L84" t="s">
        <v>13</v>
      </c>
      <c r="M84">
        <v>1</v>
      </c>
      <c r="N84" t="str">
        <f t="shared" si="1"/>
        <v>Yes</v>
      </c>
    </row>
    <row r="85" spans="1:14" x14ac:dyDescent="0.35">
      <c r="A85">
        <v>26</v>
      </c>
      <c r="B85">
        <v>84</v>
      </c>
      <c r="C85" t="s">
        <v>179</v>
      </c>
      <c r="D85" t="s">
        <v>180</v>
      </c>
      <c r="E85">
        <v>65</v>
      </c>
      <c r="F85">
        <v>0</v>
      </c>
      <c r="G85" s="2">
        <v>0.3</v>
      </c>
      <c r="H85" t="s">
        <v>13</v>
      </c>
      <c r="I85" t="s">
        <v>13</v>
      </c>
      <c r="J85" t="s">
        <v>14</v>
      </c>
      <c r="K85" t="s">
        <v>13</v>
      </c>
      <c r="L85" t="s">
        <v>13</v>
      </c>
      <c r="M85">
        <v>1</v>
      </c>
      <c r="N85" t="str">
        <f t="shared" si="1"/>
        <v>Yes</v>
      </c>
    </row>
    <row r="86" spans="1:14" x14ac:dyDescent="0.35">
      <c r="A86">
        <v>27</v>
      </c>
      <c r="B86">
        <v>85</v>
      </c>
      <c r="C86" t="s">
        <v>181</v>
      </c>
      <c r="D86" t="s">
        <v>182</v>
      </c>
      <c r="E86">
        <v>0</v>
      </c>
      <c r="F86">
        <v>0</v>
      </c>
      <c r="G86">
        <v>0</v>
      </c>
      <c r="H86" t="s">
        <v>13</v>
      </c>
      <c r="I86" t="s">
        <v>13</v>
      </c>
      <c r="J86" t="s">
        <v>13</v>
      </c>
      <c r="K86" t="s">
        <v>13</v>
      </c>
      <c r="L86" t="s">
        <v>13</v>
      </c>
      <c r="M86">
        <v>1</v>
      </c>
      <c r="N86" t="str">
        <f t="shared" si="1"/>
        <v>Yes</v>
      </c>
    </row>
    <row r="87" spans="1:14" x14ac:dyDescent="0.35">
      <c r="A87">
        <v>27</v>
      </c>
      <c r="B87">
        <v>86</v>
      </c>
      <c r="C87" t="s">
        <v>183</v>
      </c>
      <c r="D87" t="s">
        <v>184</v>
      </c>
      <c r="E87">
        <v>10</v>
      </c>
      <c r="F87">
        <v>0</v>
      </c>
      <c r="G87" s="2">
        <v>0.04</v>
      </c>
      <c r="H87" t="s">
        <v>14</v>
      </c>
      <c r="I87" t="s">
        <v>13</v>
      </c>
      <c r="J87" t="s">
        <v>14</v>
      </c>
      <c r="K87" t="s">
        <v>13</v>
      </c>
      <c r="L87" t="s">
        <v>13</v>
      </c>
      <c r="M87">
        <v>1</v>
      </c>
      <c r="N87" t="str">
        <f t="shared" si="1"/>
        <v>Yes</v>
      </c>
    </row>
    <row r="88" spans="1:14" x14ac:dyDescent="0.35">
      <c r="A88">
        <v>27</v>
      </c>
      <c r="B88">
        <v>87</v>
      </c>
      <c r="C88" t="s">
        <v>185</v>
      </c>
      <c r="D88" t="s">
        <v>186</v>
      </c>
      <c r="E88">
        <v>0</v>
      </c>
      <c r="F88">
        <v>0</v>
      </c>
      <c r="G88">
        <v>0</v>
      </c>
      <c r="H88" t="s">
        <v>13</v>
      </c>
      <c r="I88" t="s">
        <v>13</v>
      </c>
      <c r="J88" t="s">
        <v>13</v>
      </c>
      <c r="K88" t="s">
        <v>13</v>
      </c>
      <c r="L88" t="s">
        <v>13</v>
      </c>
      <c r="M88">
        <v>1</v>
      </c>
      <c r="N88" t="str">
        <f t="shared" si="1"/>
        <v>Yes</v>
      </c>
    </row>
    <row r="89" spans="1:14" x14ac:dyDescent="0.35">
      <c r="A89">
        <v>27</v>
      </c>
      <c r="B89">
        <v>88</v>
      </c>
      <c r="C89" t="s">
        <v>187</v>
      </c>
      <c r="D89" t="s">
        <v>188</v>
      </c>
      <c r="E89">
        <v>10</v>
      </c>
      <c r="F89">
        <v>0</v>
      </c>
      <c r="G89" s="2">
        <v>0.04</v>
      </c>
      <c r="H89" t="s">
        <v>13</v>
      </c>
      <c r="I89" t="s">
        <v>13</v>
      </c>
      <c r="J89" t="s">
        <v>13</v>
      </c>
      <c r="K89" t="s">
        <v>13</v>
      </c>
      <c r="L89" t="s">
        <v>13</v>
      </c>
      <c r="M89">
        <v>1</v>
      </c>
      <c r="N89" t="str">
        <f t="shared" si="1"/>
        <v>Yes</v>
      </c>
    </row>
    <row r="90" spans="1:14" x14ac:dyDescent="0.35">
      <c r="A90">
        <v>28</v>
      </c>
      <c r="B90">
        <v>89</v>
      </c>
      <c r="C90" t="s">
        <v>189</v>
      </c>
      <c r="D90" t="s">
        <v>190</v>
      </c>
      <c r="E90">
        <v>10</v>
      </c>
      <c r="F90">
        <v>0</v>
      </c>
      <c r="G90" s="2">
        <v>0.15</v>
      </c>
      <c r="H90" t="s">
        <v>13</v>
      </c>
      <c r="I90" t="s">
        <v>13</v>
      </c>
      <c r="J90" t="s">
        <v>13</v>
      </c>
      <c r="K90" t="s">
        <v>13</v>
      </c>
      <c r="L90" t="s">
        <v>14</v>
      </c>
      <c r="M90">
        <v>1</v>
      </c>
      <c r="N90" t="str">
        <f t="shared" si="1"/>
        <v>Yes</v>
      </c>
    </row>
    <row r="91" spans="1:14" x14ac:dyDescent="0.35">
      <c r="A91">
        <v>28</v>
      </c>
      <c r="B91">
        <v>90</v>
      </c>
      <c r="C91" t="s">
        <v>191</v>
      </c>
      <c r="D91" t="s">
        <v>192</v>
      </c>
      <c r="E91">
        <v>0</v>
      </c>
      <c r="F91">
        <v>0</v>
      </c>
      <c r="G91">
        <v>0</v>
      </c>
      <c r="H91" t="s">
        <v>13</v>
      </c>
      <c r="I91" t="s">
        <v>13</v>
      </c>
      <c r="J91" t="s">
        <v>13</v>
      </c>
      <c r="K91" t="s">
        <v>13</v>
      </c>
      <c r="L91" t="s">
        <v>13</v>
      </c>
      <c r="M91">
        <v>1</v>
      </c>
      <c r="N91" t="str">
        <f t="shared" si="1"/>
        <v>Yes</v>
      </c>
    </row>
    <row r="92" spans="1:14" x14ac:dyDescent="0.35">
      <c r="A92">
        <v>28</v>
      </c>
      <c r="B92">
        <v>91</v>
      </c>
      <c r="C92" t="s">
        <v>193</v>
      </c>
      <c r="D92" t="s">
        <v>194</v>
      </c>
      <c r="E92">
        <v>50</v>
      </c>
      <c r="F92">
        <v>0</v>
      </c>
      <c r="G92" s="2">
        <v>0.3</v>
      </c>
      <c r="H92" t="s">
        <v>13</v>
      </c>
      <c r="I92" t="s">
        <v>13</v>
      </c>
      <c r="J92" t="s">
        <v>13</v>
      </c>
      <c r="K92" t="s">
        <v>13</v>
      </c>
      <c r="L92" t="s">
        <v>14</v>
      </c>
      <c r="M92">
        <v>1</v>
      </c>
      <c r="N92" t="str">
        <f t="shared" si="1"/>
        <v>Yes</v>
      </c>
    </row>
    <row r="93" spans="1:14" x14ac:dyDescent="0.35">
      <c r="A93">
        <v>29</v>
      </c>
      <c r="B93">
        <v>92</v>
      </c>
      <c r="C93" t="s">
        <v>195</v>
      </c>
      <c r="D93" t="s">
        <v>196</v>
      </c>
      <c r="E93">
        <v>75</v>
      </c>
      <c r="F93">
        <v>0</v>
      </c>
      <c r="G93" s="2">
        <v>0.21</v>
      </c>
      <c r="H93" t="s">
        <v>13</v>
      </c>
      <c r="I93" t="s">
        <v>13</v>
      </c>
      <c r="J93" t="s">
        <v>14</v>
      </c>
      <c r="K93" t="s">
        <v>13</v>
      </c>
      <c r="L93" t="s">
        <v>14</v>
      </c>
      <c r="M93">
        <v>1</v>
      </c>
      <c r="N93" t="str">
        <f t="shared" si="1"/>
        <v>Yes</v>
      </c>
    </row>
    <row r="94" spans="1:14" x14ac:dyDescent="0.35">
      <c r="A94">
        <v>29</v>
      </c>
      <c r="B94">
        <v>93</v>
      </c>
      <c r="C94" t="s">
        <v>197</v>
      </c>
      <c r="D94" t="s">
        <v>198</v>
      </c>
      <c r="E94">
        <v>0</v>
      </c>
      <c r="F94">
        <v>0</v>
      </c>
      <c r="G94">
        <v>0</v>
      </c>
      <c r="H94" t="s">
        <v>13</v>
      </c>
      <c r="I94" t="s">
        <v>13</v>
      </c>
      <c r="J94" t="s">
        <v>13</v>
      </c>
      <c r="K94" t="s">
        <v>13</v>
      </c>
      <c r="L94" t="s">
        <v>13</v>
      </c>
      <c r="M94">
        <v>1</v>
      </c>
      <c r="N94" t="str">
        <f t="shared" si="1"/>
        <v>Yes</v>
      </c>
    </row>
    <row r="95" spans="1:14" x14ac:dyDescent="0.35">
      <c r="A95">
        <v>29</v>
      </c>
      <c r="B95">
        <v>94</v>
      </c>
      <c r="C95" t="s">
        <v>199</v>
      </c>
      <c r="D95" t="s">
        <v>200</v>
      </c>
      <c r="E95">
        <v>0</v>
      </c>
      <c r="F95">
        <v>0</v>
      </c>
      <c r="G95">
        <v>0</v>
      </c>
      <c r="H95" t="s">
        <v>13</v>
      </c>
      <c r="I95" t="s">
        <v>13</v>
      </c>
      <c r="J95" t="s">
        <v>13</v>
      </c>
      <c r="K95" t="s">
        <v>13</v>
      </c>
      <c r="L95" t="s">
        <v>13</v>
      </c>
      <c r="M95">
        <v>1</v>
      </c>
      <c r="N95" t="str">
        <f t="shared" si="1"/>
        <v>Yes</v>
      </c>
    </row>
    <row r="96" spans="1:14" x14ac:dyDescent="0.35">
      <c r="A96">
        <v>30</v>
      </c>
      <c r="B96">
        <v>95</v>
      </c>
      <c r="C96" t="s">
        <v>201</v>
      </c>
      <c r="D96" t="s">
        <v>202</v>
      </c>
      <c r="E96">
        <v>0</v>
      </c>
      <c r="F96">
        <v>0</v>
      </c>
      <c r="G96">
        <v>0</v>
      </c>
      <c r="H96" t="s">
        <v>13</v>
      </c>
      <c r="I96" t="s">
        <v>13</v>
      </c>
      <c r="J96" t="s">
        <v>13</v>
      </c>
      <c r="K96" t="s">
        <v>13</v>
      </c>
      <c r="L96" t="s">
        <v>13</v>
      </c>
      <c r="M96">
        <v>1</v>
      </c>
      <c r="N96" t="str">
        <f t="shared" si="1"/>
        <v>Yes</v>
      </c>
    </row>
    <row r="97" spans="1:14" x14ac:dyDescent="0.35">
      <c r="A97">
        <v>30</v>
      </c>
      <c r="B97">
        <v>96</v>
      </c>
      <c r="C97" t="s">
        <v>203</v>
      </c>
      <c r="D97" t="s">
        <v>204</v>
      </c>
      <c r="E97">
        <v>80</v>
      </c>
      <c r="F97">
        <v>0</v>
      </c>
      <c r="G97" s="2">
        <v>0.06</v>
      </c>
      <c r="H97" t="s">
        <v>13</v>
      </c>
      <c r="I97" t="s">
        <v>13</v>
      </c>
      <c r="J97" t="s">
        <v>14</v>
      </c>
      <c r="K97" t="s">
        <v>13</v>
      </c>
      <c r="L97" t="s">
        <v>14</v>
      </c>
      <c r="M97">
        <v>1</v>
      </c>
      <c r="N97" t="str">
        <f t="shared" si="1"/>
        <v>Yes</v>
      </c>
    </row>
    <row r="98" spans="1:14" x14ac:dyDescent="0.35">
      <c r="A98">
        <v>30</v>
      </c>
      <c r="B98">
        <v>97</v>
      </c>
      <c r="C98" t="s">
        <v>205</v>
      </c>
      <c r="D98" t="s">
        <v>206</v>
      </c>
      <c r="E98">
        <v>0</v>
      </c>
      <c r="F98">
        <v>0</v>
      </c>
      <c r="G98">
        <v>0</v>
      </c>
      <c r="H98" t="s">
        <v>13</v>
      </c>
      <c r="I98" t="s">
        <v>13</v>
      </c>
      <c r="J98" t="s">
        <v>13</v>
      </c>
      <c r="K98" t="s">
        <v>13</v>
      </c>
      <c r="L98" t="s">
        <v>13</v>
      </c>
      <c r="M98">
        <v>1</v>
      </c>
      <c r="N98" t="str">
        <f t="shared" si="1"/>
        <v>Yes</v>
      </c>
    </row>
    <row r="99" spans="1:14" x14ac:dyDescent="0.35">
      <c r="A99">
        <v>30</v>
      </c>
      <c r="B99">
        <v>98</v>
      </c>
      <c r="C99" t="s">
        <v>207</v>
      </c>
      <c r="D99" t="s">
        <v>208</v>
      </c>
      <c r="E99">
        <v>0</v>
      </c>
      <c r="F99">
        <v>0</v>
      </c>
      <c r="G99">
        <v>0</v>
      </c>
      <c r="H99" t="s">
        <v>13</v>
      </c>
      <c r="I99" t="s">
        <v>13</v>
      </c>
      <c r="J99" t="s">
        <v>13</v>
      </c>
      <c r="K99" t="s">
        <v>13</v>
      </c>
      <c r="L99" t="s">
        <v>13</v>
      </c>
      <c r="M99">
        <v>1</v>
      </c>
      <c r="N99" t="str">
        <f t="shared" si="1"/>
        <v>Yes</v>
      </c>
    </row>
    <row r="100" spans="1:14" x14ac:dyDescent="0.35">
      <c r="A100">
        <v>31</v>
      </c>
      <c r="B100">
        <v>99</v>
      </c>
      <c r="C100" t="s">
        <v>209</v>
      </c>
      <c r="D100" t="s">
        <v>210</v>
      </c>
      <c r="E100">
        <v>0</v>
      </c>
      <c r="F100">
        <v>0</v>
      </c>
      <c r="G100">
        <v>0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  <c r="M100">
        <v>1</v>
      </c>
      <c r="N100" t="str">
        <f t="shared" si="1"/>
        <v>Yes</v>
      </c>
    </row>
    <row r="101" spans="1:14" x14ac:dyDescent="0.35">
      <c r="A101">
        <v>31</v>
      </c>
      <c r="B101">
        <v>100</v>
      </c>
      <c r="C101" t="s">
        <v>211</v>
      </c>
      <c r="D101" t="s">
        <v>212</v>
      </c>
      <c r="E101">
        <v>0</v>
      </c>
      <c r="F101">
        <v>0</v>
      </c>
      <c r="G101">
        <v>0</v>
      </c>
      <c r="H101" t="s">
        <v>13</v>
      </c>
      <c r="I101" t="s">
        <v>13</v>
      </c>
      <c r="J101" t="s">
        <v>13</v>
      </c>
      <c r="K101" t="s">
        <v>13</v>
      </c>
      <c r="L101" t="s">
        <v>13</v>
      </c>
      <c r="M101">
        <v>1</v>
      </c>
      <c r="N101" t="str">
        <f t="shared" si="1"/>
        <v>Yes</v>
      </c>
    </row>
    <row r="102" spans="1:14" x14ac:dyDescent="0.35">
      <c r="A102">
        <v>31</v>
      </c>
      <c r="B102">
        <v>101</v>
      </c>
      <c r="C102" t="s">
        <v>213</v>
      </c>
      <c r="D102" t="s">
        <v>214</v>
      </c>
      <c r="E102">
        <v>75</v>
      </c>
      <c r="F102">
        <v>0</v>
      </c>
      <c r="G102" s="2">
        <v>2.6800000000000001E-2</v>
      </c>
      <c r="H102" t="s">
        <v>13</v>
      </c>
      <c r="I102" t="s">
        <v>13</v>
      </c>
      <c r="J102" t="s">
        <v>13</v>
      </c>
      <c r="K102" t="s">
        <v>14</v>
      </c>
      <c r="L102" t="s">
        <v>13</v>
      </c>
      <c r="M102">
        <v>1</v>
      </c>
      <c r="N102" t="str">
        <f t="shared" si="1"/>
        <v>Yes</v>
      </c>
    </row>
    <row r="103" spans="1:14" x14ac:dyDescent="0.35">
      <c r="A103">
        <v>31</v>
      </c>
      <c r="B103">
        <v>102</v>
      </c>
      <c r="C103" t="s">
        <v>215</v>
      </c>
      <c r="D103" t="s">
        <v>216</v>
      </c>
      <c r="E103">
        <v>0</v>
      </c>
      <c r="F103">
        <v>0</v>
      </c>
      <c r="G103">
        <v>0</v>
      </c>
      <c r="H103" t="s">
        <v>13</v>
      </c>
      <c r="I103" t="s">
        <v>13</v>
      </c>
      <c r="J103" t="s">
        <v>13</v>
      </c>
      <c r="K103" t="s">
        <v>13</v>
      </c>
      <c r="L103" t="s">
        <v>13</v>
      </c>
      <c r="M103">
        <v>1</v>
      </c>
      <c r="N103" t="str">
        <f t="shared" si="1"/>
        <v>Yes</v>
      </c>
    </row>
    <row r="104" spans="1:14" x14ac:dyDescent="0.35">
      <c r="A104">
        <v>32</v>
      </c>
      <c r="B104">
        <v>103</v>
      </c>
      <c r="C104" t="s">
        <v>217</v>
      </c>
      <c r="D104" t="s">
        <v>218</v>
      </c>
      <c r="E104">
        <v>0</v>
      </c>
      <c r="F104">
        <v>0</v>
      </c>
      <c r="G104">
        <v>0</v>
      </c>
      <c r="H104" t="s">
        <v>13</v>
      </c>
      <c r="I104" t="s">
        <v>13</v>
      </c>
      <c r="J104" t="s">
        <v>13</v>
      </c>
      <c r="K104" t="s">
        <v>13</v>
      </c>
      <c r="L104" t="s">
        <v>13</v>
      </c>
      <c r="M104">
        <v>1</v>
      </c>
      <c r="N104" t="str">
        <f t="shared" si="1"/>
        <v>Yes</v>
      </c>
    </row>
    <row r="105" spans="1:14" x14ac:dyDescent="0.35">
      <c r="A105">
        <v>32</v>
      </c>
      <c r="B105">
        <v>104</v>
      </c>
      <c r="C105" t="s">
        <v>219</v>
      </c>
      <c r="D105" t="s">
        <v>220</v>
      </c>
      <c r="E105">
        <v>0</v>
      </c>
      <c r="F105">
        <v>0</v>
      </c>
      <c r="G105">
        <v>0</v>
      </c>
      <c r="H105" t="s">
        <v>13</v>
      </c>
      <c r="I105" t="s">
        <v>13</v>
      </c>
      <c r="J105" t="s">
        <v>13</v>
      </c>
      <c r="K105" t="s">
        <v>13</v>
      </c>
      <c r="L105" t="s">
        <v>13</v>
      </c>
      <c r="M105">
        <v>1</v>
      </c>
      <c r="N105" t="str">
        <f t="shared" si="1"/>
        <v>Yes</v>
      </c>
    </row>
    <row r="106" spans="1:14" x14ac:dyDescent="0.35">
      <c r="A106">
        <v>32</v>
      </c>
      <c r="B106">
        <v>105</v>
      </c>
      <c r="C106" t="s">
        <v>221</v>
      </c>
      <c r="D106" t="s">
        <v>222</v>
      </c>
      <c r="E106">
        <v>50</v>
      </c>
      <c r="F106">
        <v>0</v>
      </c>
      <c r="G106" s="2">
        <v>0.02</v>
      </c>
      <c r="H106" t="s">
        <v>13</v>
      </c>
      <c r="I106" t="s">
        <v>13</v>
      </c>
      <c r="J106" t="s">
        <v>13</v>
      </c>
      <c r="K106" t="s">
        <v>14</v>
      </c>
      <c r="L106" t="s">
        <v>13</v>
      </c>
      <c r="M106">
        <v>1</v>
      </c>
      <c r="N106" t="str">
        <f t="shared" si="1"/>
        <v>Yes</v>
      </c>
    </row>
    <row r="107" spans="1:14" x14ac:dyDescent="0.35">
      <c r="A107">
        <v>32</v>
      </c>
      <c r="B107">
        <v>106</v>
      </c>
      <c r="C107" t="s">
        <v>223</v>
      </c>
      <c r="D107" t="s">
        <v>224</v>
      </c>
      <c r="E107">
        <v>0</v>
      </c>
      <c r="F107">
        <v>0</v>
      </c>
      <c r="G107">
        <v>0</v>
      </c>
      <c r="H107" t="s">
        <v>13</v>
      </c>
      <c r="I107" t="s">
        <v>13</v>
      </c>
      <c r="J107" t="s">
        <v>13</v>
      </c>
      <c r="K107" t="s">
        <v>13</v>
      </c>
      <c r="L107" t="s">
        <v>13</v>
      </c>
      <c r="M107">
        <v>1</v>
      </c>
      <c r="N107" t="str">
        <f t="shared" si="1"/>
        <v>Yes</v>
      </c>
    </row>
    <row r="108" spans="1:14" x14ac:dyDescent="0.35">
      <c r="A108">
        <v>33</v>
      </c>
      <c r="B108">
        <v>107</v>
      </c>
      <c r="C108" t="s">
        <v>225</v>
      </c>
      <c r="D108" t="s">
        <v>226</v>
      </c>
      <c r="E108">
        <v>40</v>
      </c>
      <c r="F108">
        <v>0</v>
      </c>
      <c r="G108" s="2">
        <v>0.25</v>
      </c>
      <c r="H108" t="s">
        <v>13</v>
      </c>
      <c r="I108" t="s">
        <v>13</v>
      </c>
      <c r="J108" t="s">
        <v>14</v>
      </c>
      <c r="K108" t="s">
        <v>13</v>
      </c>
      <c r="L108" t="s">
        <v>13</v>
      </c>
      <c r="M108">
        <v>1</v>
      </c>
      <c r="N108" t="str">
        <f t="shared" si="1"/>
        <v>Yes</v>
      </c>
    </row>
    <row r="109" spans="1:14" x14ac:dyDescent="0.35">
      <c r="A109">
        <v>33</v>
      </c>
      <c r="B109">
        <v>108</v>
      </c>
      <c r="C109" t="s">
        <v>227</v>
      </c>
      <c r="D109" t="s">
        <v>228</v>
      </c>
      <c r="E109">
        <v>0</v>
      </c>
      <c r="F109">
        <v>0</v>
      </c>
      <c r="G109">
        <v>0</v>
      </c>
      <c r="H109" t="s">
        <v>13</v>
      </c>
      <c r="I109" t="s">
        <v>13</v>
      </c>
      <c r="J109" t="s">
        <v>13</v>
      </c>
      <c r="K109" t="s">
        <v>13</v>
      </c>
      <c r="L109" t="s">
        <v>13</v>
      </c>
      <c r="M109">
        <v>1</v>
      </c>
      <c r="N109" t="str">
        <f t="shared" si="1"/>
        <v>Yes</v>
      </c>
    </row>
    <row r="110" spans="1:14" x14ac:dyDescent="0.35">
      <c r="A110">
        <v>33</v>
      </c>
      <c r="B110">
        <v>109</v>
      </c>
      <c r="C110" t="s">
        <v>229</v>
      </c>
      <c r="D110" t="s">
        <v>230</v>
      </c>
      <c r="E110">
        <v>60</v>
      </c>
      <c r="F110">
        <v>0</v>
      </c>
      <c r="G110" s="2">
        <v>0.1</v>
      </c>
      <c r="H110" t="s">
        <v>14</v>
      </c>
      <c r="I110" t="s">
        <v>14</v>
      </c>
      <c r="J110" t="s">
        <v>13</v>
      </c>
      <c r="K110" t="s">
        <v>13</v>
      </c>
      <c r="L110" t="s">
        <v>13</v>
      </c>
      <c r="M110">
        <v>1</v>
      </c>
      <c r="N110" t="str">
        <f t="shared" si="1"/>
        <v>Yes</v>
      </c>
    </row>
    <row r="111" spans="1:14" x14ac:dyDescent="0.35">
      <c r="A111">
        <v>33</v>
      </c>
      <c r="B111">
        <v>110</v>
      </c>
      <c r="C111" t="s">
        <v>231</v>
      </c>
      <c r="D111" t="s">
        <v>232</v>
      </c>
      <c r="E111">
        <v>10</v>
      </c>
      <c r="F111">
        <v>0</v>
      </c>
      <c r="G111" s="2">
        <v>0.1</v>
      </c>
      <c r="H111" t="s">
        <v>13</v>
      </c>
      <c r="I111" t="s">
        <v>14</v>
      </c>
      <c r="J111" t="s">
        <v>13</v>
      </c>
      <c r="K111" t="s">
        <v>13</v>
      </c>
      <c r="L111" t="s">
        <v>13</v>
      </c>
      <c r="M111">
        <v>1</v>
      </c>
      <c r="N111" t="str">
        <f t="shared" si="1"/>
        <v>Yes</v>
      </c>
    </row>
    <row r="112" spans="1:14" x14ac:dyDescent="0.35">
      <c r="A112">
        <v>34</v>
      </c>
      <c r="B112">
        <v>111</v>
      </c>
      <c r="C112" t="s">
        <v>233</v>
      </c>
      <c r="D112" t="s">
        <v>234</v>
      </c>
      <c r="E112">
        <v>40</v>
      </c>
      <c r="F112">
        <v>0</v>
      </c>
      <c r="G112" s="2">
        <v>0.2</v>
      </c>
      <c r="H112" t="s">
        <v>13</v>
      </c>
      <c r="I112" t="s">
        <v>14</v>
      </c>
      <c r="J112" t="s">
        <v>14</v>
      </c>
      <c r="K112" t="s">
        <v>13</v>
      </c>
      <c r="L112" t="s">
        <v>14</v>
      </c>
      <c r="M112">
        <v>1</v>
      </c>
      <c r="N112" t="str">
        <f t="shared" si="1"/>
        <v>Yes</v>
      </c>
    </row>
    <row r="113" spans="1:14" x14ac:dyDescent="0.35">
      <c r="A113">
        <v>34</v>
      </c>
      <c r="B113">
        <v>112</v>
      </c>
      <c r="C113" t="s">
        <v>235</v>
      </c>
      <c r="D113" t="s">
        <v>236</v>
      </c>
      <c r="E113">
        <v>0</v>
      </c>
      <c r="F113">
        <v>0</v>
      </c>
      <c r="G113">
        <v>0</v>
      </c>
      <c r="H113" t="s">
        <v>13</v>
      </c>
      <c r="I113" t="s">
        <v>13</v>
      </c>
      <c r="J113" t="s">
        <v>13</v>
      </c>
      <c r="K113" t="s">
        <v>13</v>
      </c>
      <c r="L113" t="s">
        <v>13</v>
      </c>
      <c r="M113">
        <v>1</v>
      </c>
      <c r="N113" t="str">
        <f t="shared" si="1"/>
        <v>Yes</v>
      </c>
    </row>
    <row r="114" spans="1:14" x14ac:dyDescent="0.35">
      <c r="A114">
        <v>34</v>
      </c>
      <c r="B114">
        <v>113</v>
      </c>
      <c r="C114" t="s">
        <v>237</v>
      </c>
      <c r="D114" t="s">
        <v>238</v>
      </c>
      <c r="E114">
        <v>0</v>
      </c>
      <c r="F114">
        <v>0</v>
      </c>
      <c r="G114">
        <v>0</v>
      </c>
      <c r="H114" t="s">
        <v>13</v>
      </c>
      <c r="I114" t="s">
        <v>13</v>
      </c>
      <c r="J114" t="s">
        <v>13</v>
      </c>
      <c r="K114" t="s">
        <v>13</v>
      </c>
      <c r="L114" t="s">
        <v>13</v>
      </c>
      <c r="M114">
        <v>1</v>
      </c>
      <c r="N114" t="str">
        <f t="shared" si="1"/>
        <v>Yes</v>
      </c>
    </row>
    <row r="115" spans="1:14" x14ac:dyDescent="0.35">
      <c r="A115">
        <v>34</v>
      </c>
      <c r="B115">
        <v>114</v>
      </c>
      <c r="C115" t="s">
        <v>239</v>
      </c>
      <c r="D115" t="s">
        <v>240</v>
      </c>
      <c r="E115">
        <v>0</v>
      </c>
      <c r="F115">
        <v>0</v>
      </c>
      <c r="G115">
        <v>0</v>
      </c>
      <c r="H115" t="s">
        <v>13</v>
      </c>
      <c r="I115" t="s">
        <v>13</v>
      </c>
      <c r="J115" t="s">
        <v>13</v>
      </c>
      <c r="K115" t="s">
        <v>13</v>
      </c>
      <c r="L115" t="s">
        <v>13</v>
      </c>
      <c r="M115">
        <v>1</v>
      </c>
      <c r="N115" t="str">
        <f t="shared" si="1"/>
        <v>Yes</v>
      </c>
    </row>
    <row r="116" spans="1:14" x14ac:dyDescent="0.35">
      <c r="A116">
        <v>35</v>
      </c>
      <c r="B116">
        <v>115</v>
      </c>
      <c r="C116" t="s">
        <v>241</v>
      </c>
      <c r="D116" t="s">
        <v>242</v>
      </c>
      <c r="E116">
        <v>40</v>
      </c>
      <c r="F116">
        <v>0</v>
      </c>
      <c r="G116" s="2">
        <v>0.3</v>
      </c>
      <c r="H116" t="s">
        <v>14</v>
      </c>
      <c r="I116" t="s">
        <v>14</v>
      </c>
      <c r="J116" t="s">
        <v>13</v>
      </c>
      <c r="K116" t="s">
        <v>14</v>
      </c>
      <c r="L116" t="s">
        <v>14</v>
      </c>
      <c r="M116">
        <v>1</v>
      </c>
      <c r="N116" t="str">
        <f t="shared" si="1"/>
        <v>Yes</v>
      </c>
    </row>
    <row r="117" spans="1:14" x14ac:dyDescent="0.35">
      <c r="A117">
        <v>35</v>
      </c>
      <c r="B117">
        <v>116</v>
      </c>
      <c r="C117" t="s">
        <v>243</v>
      </c>
      <c r="D117" t="s">
        <v>244</v>
      </c>
      <c r="E117">
        <v>0</v>
      </c>
      <c r="F117">
        <v>0</v>
      </c>
      <c r="G117">
        <v>0</v>
      </c>
      <c r="H117" t="s">
        <v>13</v>
      </c>
      <c r="I117" t="s">
        <v>13</v>
      </c>
      <c r="J117" t="s">
        <v>13</v>
      </c>
      <c r="K117" t="s">
        <v>13</v>
      </c>
      <c r="L117" t="s">
        <v>13</v>
      </c>
      <c r="M117">
        <v>1</v>
      </c>
      <c r="N117" t="str">
        <f t="shared" si="1"/>
        <v>Yes</v>
      </c>
    </row>
    <row r="118" spans="1:14" x14ac:dyDescent="0.35">
      <c r="A118">
        <v>35</v>
      </c>
      <c r="B118">
        <v>117</v>
      </c>
      <c r="C118" t="s">
        <v>245</v>
      </c>
      <c r="D118" t="s">
        <v>246</v>
      </c>
      <c r="E118">
        <v>0</v>
      </c>
      <c r="F118">
        <v>0</v>
      </c>
      <c r="G118">
        <v>0</v>
      </c>
      <c r="H118" t="s">
        <v>13</v>
      </c>
      <c r="I118" t="s">
        <v>13</v>
      </c>
      <c r="J118" t="s">
        <v>13</v>
      </c>
      <c r="K118" t="s">
        <v>13</v>
      </c>
      <c r="L118" t="s">
        <v>13</v>
      </c>
      <c r="M118">
        <v>1</v>
      </c>
      <c r="N118" t="str">
        <f t="shared" si="1"/>
        <v>Yes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755E-8E17-4C33-BE6F-DFD6697A97FB}">
  <dimension ref="A1"/>
  <sheetViews>
    <sheetView topLeftCell="A2" zoomScale="64" workbookViewId="0">
      <selection activeCell="W30" sqref="W3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Pivot Table1</vt:lpstr>
      <vt:lpstr>Pivot Table2</vt:lpstr>
      <vt:lpstr>Pivot Table3</vt:lpstr>
      <vt:lpstr>ShartankIndiaAllPitches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</dc:creator>
  <cp:lastModifiedBy>pushpanjaliaddagudi5@gmail.com</cp:lastModifiedBy>
  <dcterms:created xsi:type="dcterms:W3CDTF">2026-03-19T18:42:26Z</dcterms:created>
  <dcterms:modified xsi:type="dcterms:W3CDTF">2026-03-19T18:42:26Z</dcterms:modified>
</cp:coreProperties>
</file>